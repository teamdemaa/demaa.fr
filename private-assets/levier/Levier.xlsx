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f5850375137440a" /></Relationships>
</file>

<file path=xl/workbook.xml><?xml version="1.0" encoding="utf-8"?>
<x:workbook xmlns:x="http://schemas.openxmlformats.org/spreadsheetml/2006/main">
  <x:sheets>
    <x:sheet xmlns:r="http://schemas.openxmlformats.org/officeDocument/2006/relationships" name="Démarrage" sheetId="1" r:id="R446b9b5b3cb24571"/>
    <x:sheet xmlns:r="http://schemas.openxmlformats.org/officeDocument/2006/relationships" name="Tableau de bord" sheetId="2" r:id="R26e544840f39412f"/>
    <x:sheet xmlns:r="http://schemas.openxmlformats.org/officeDocument/2006/relationships" name="Mise à jour mensuelle" sheetId="3" r:id="R04f4545071bf443a"/>
    <x:sheet xmlns:r="http://schemas.openxmlformats.org/officeDocument/2006/relationships" name="Actions" sheetId="4" r:id="Rd8cf23a6cddb4dd5"/>
  </x:sheets>
  <x:definedNames>
    <x:definedName name="Levier_Mois">OFFSET('Tableau de bord'!$P$4,0,0,MAX(1,COUNT('Mise à jour mensuelle'!$B$6:$M$6)),1)</x:definedName>
    <x:definedName name="Levier_CA">OFFSET('Tableau de bord'!$Q$4,0,0,MAX(1,COUNT('Mise à jour mensuelle'!$B$6:$M$6)),1)</x:definedName>
    <x:definedName name="Levier_Resultat">OFFSET('Tableau de bord'!$T$4,0,0,MAX(1,COUNT('Mise à jour mensuelle'!$B$6:$M$6)),1)</x:definedName>
    <x:definedName name="Levier_ArgentDisponible">OFFSET('Tableau de bord'!$W$4,0,0,MAX(1,COUNT('Mise à jour mensuelle'!$B$6:$M$6)),1)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quot;€&quot;;[Red](#,##0 &quot;€&quot;);-"/>
    <x:numFmt numFmtId="201" formatCode="#,##0;[Red](#,##0);-"/>
    <x:numFmt numFmtId="202" formatCode="0.0%;[Red](0.0%);-"/>
    <x:numFmt numFmtId="203" formatCode="dd/mm/yyyy"/>
    <x:numFmt numFmtId="204" formatCode="mmm yyyy"/>
  </x:numFmts>
  <x:fonts count="14">
    <x:font>
      <x:sz val="11"/>
      <x:name val="Carlito"/>
    </x:font>
    <x:font>
      <x:sz val="10"/>
      <x:color rgb="FF17251D"/>
      <x:name val="Arial"/>
    </x:font>
    <x:font>
      <x:b/>
      <x:sz val="20"/>
      <x:color rgb="FFFFFFFF"/>
      <x:name val="Arial"/>
    </x:font>
    <x:font>
      <x:b/>
      <x:sz val="9"/>
      <x:color rgb="FF315F46"/>
      <x:name val="Arial"/>
    </x:font>
    <x:font>
      <x:sz val="10"/>
      <x:color rgb="FF315F46"/>
      <x:name val="Arial"/>
    </x:font>
    <x:font>
      <x:b/>
      <x:sz val="10"/>
      <x:color rgb="FFFFFFFF"/>
      <x:name val="Arial"/>
    </x:font>
    <x:font>
      <x:b/>
      <x:sz val="10"/>
      <x:color rgb="FF315F46"/>
      <x:name val="Arial"/>
    </x:font>
    <x:font>
      <x:i/>
      <x:sz val="9"/>
      <x:color rgb="FF66736B"/>
      <x:name val="Arial"/>
    </x:font>
    <x:font>
      <x:sz val="1"/>
      <x:color rgb="FFFFFFFF"/>
      <x:name val="Arial"/>
    </x:font>
    <x:font>
      <x:b/>
      <x:sz val="10"/>
      <x:color rgb="FF66736B"/>
      <x:name val="Arial"/>
    </x:font>
    <x:font>
      <x:b/>
      <x:sz val="17"/>
      <x:color rgb="FF315F46"/>
      <x:name val="Arial"/>
    </x:font>
    <x:font>
      <x:b/>
      <x:sz val="16"/>
      <x:color rgb="FF315F46"/>
      <x:name val="Arial"/>
    </x:font>
    <x:font>
      <x:b/>
      <x:sz val="13"/>
      <x:color rgb="FF315F46"/>
      <x:name val="Arial"/>
    </x:font>
    <x:font>
      <x:b/>
      <x:sz val="15"/>
      <x:color rgb="FF315F46"/>
      <x:name val="Arial"/>
    </x:font>
  </x:fonts>
  <x:fills count="7">
    <x:fill>
      <x:patternFill patternType="none"/>
    </x:fill>
    <x:fill>
      <x:patternFill patternType="gray125"/>
    </x:fill>
    <x:fill>
      <x:patternFill patternType="solid">
        <x:fgColor rgb="FFFFFFFF"/>
      </x:patternFill>
    </x:fill>
    <x:fill>
      <x:patternFill patternType="solid">
        <x:fgColor rgb="FF315F46"/>
      </x:patternFill>
    </x:fill>
    <x:fill>
      <x:patternFill patternType="solid">
        <x:fgColor rgb="FFDDE8DF"/>
      </x:patternFill>
    </x:fill>
    <x:fill>
      <x:patternFill patternType="solid">
        <x:fgColor rgb="FFF6F9F6"/>
      </x:patternFill>
    </x:fill>
    <x:fill>
      <x:patternFill patternType="solid">
        <x:fgColor rgb="FFEEF2ED"/>
      </x:patternFill>
    </x:fill>
  </x:fills>
  <x:borders count="13">
    <x:border/>
    <x:border>
      <x:left style="thin">
        <x:color rgb="FFDDE3DE"/>
      </x:left>
      <x:top style="thin">
        <x:color rgb="FFDDE3DE"/>
      </x:top>
    </x:border>
    <x:border>
      <x:top style="thin">
        <x:color rgb="FFDDE3DE"/>
      </x:top>
    </x:border>
    <x:border>
      <x:right style="thin">
        <x:color rgb="FFDDE3DE"/>
      </x:right>
      <x:top style="thin">
        <x:color rgb="FFDDE3DE"/>
      </x:top>
    </x:border>
    <x:border>
      <x:left style="thin">
        <x:color rgb="FFDDE3DE"/>
      </x:left>
    </x:border>
    <x:border>
      <x:right style="thin">
        <x:color rgb="FFDDE3DE"/>
      </x:right>
    </x:border>
    <x:border>
      <x:left style="thin">
        <x:color rgb="FFDDE3DE"/>
      </x:left>
      <x:bottom style="thin">
        <x:color rgb="FFDDE3DE"/>
      </x:bottom>
    </x:border>
    <x:border>
      <x:bottom style="thin">
        <x:color rgb="FFDDE3DE"/>
      </x:bottom>
    </x:border>
    <x:border>
      <x:right style="thin">
        <x:color rgb="FFDDE3DE"/>
      </x:right>
      <x:bottom style="thin">
        <x:color rgb="FFDDE3DE"/>
      </x:bottom>
    </x:border>
    <x:border>
      <x:left style="thin">
        <x:color rgb="FFDDE3DE"/>
      </x:left>
      <x:top style="thin">
        <x:color rgb="FFDDE3DE"/>
      </x:top>
      <x:bottom style="thin">
        <x:color rgb="FFDDE3DE"/>
      </x:bottom>
    </x:border>
    <x:border>
      <x:top style="thin">
        <x:color rgb="FFDDE3DE"/>
      </x:top>
      <x:bottom style="thin">
        <x:color rgb="FFDDE3DE"/>
      </x:bottom>
    </x:border>
    <x:border>
      <x:right style="thin">
        <x:color rgb="FFDDE3DE"/>
      </x:right>
      <x:top style="thin">
        <x:color rgb="FFDDE3DE"/>
      </x:top>
      <x:bottom style="thin">
        <x:color rgb="FFDDE3DE"/>
      </x:bottom>
    </x:border>
    <x:border>
      <x:left style="thin">
        <x:color rgb="FFDDE3DE"/>
      </x:left>
      <x:right style="thin">
        <x:color rgb="FFDDE3DE"/>
      </x:right>
    </x:border>
  </x:borders>
  <x:cellStyleXfs count="1">
    <x:xf numFmtId="0" fontId="0" fillId="0" borderId="0"/>
  </x:cellStyleXfs>
  <x:cellXfs count="2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horizontal="left"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horizontal="center"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1" xfId="0" applyNumberFormat="1" applyFont="1" applyFill="1" applyBorder="1" applyAlignment="1">
      <x:alignment vertical="center"/>
    </x:xf>
    <x:xf numFmtId="0" fontId="4" fillId="5" borderId="2" xfId="0" applyNumberFormat="1" applyFont="1" applyFill="1" applyBorder="1" applyAlignment="1">
      <x:alignment vertical="center"/>
    </x:xf>
    <x:xf numFmtId="0" fontId="4" fillId="5" borderId="3" xfId="0" applyNumberFormat="1" applyFont="1" applyFill="1" applyBorder="1" applyAlignment="1">
      <x:alignment vertical="center"/>
    </x:xf>
    <x:xf numFmtId="0" fontId="4" fillId="5" borderId="4" xfId="0" applyNumberFormat="1" applyFont="1" applyFill="1" applyBorder="1" applyAlignment="1">
      <x:alignment vertical="center"/>
    </x:xf>
    <x:xf numFmtId="0" fontId="4" fillId="5" borderId="5" xfId="0" applyNumberFormat="1" applyFont="1" applyFill="1" applyBorder="1" applyAlignment="1">
      <x:alignment vertical="center"/>
    </x:xf>
    <x:xf numFmtId="0" fontId="4" fillId="5" borderId="6" xfId="0" applyNumberFormat="1" applyFont="1" applyFill="1" applyBorder="1" applyAlignment="1">
      <x:alignment vertical="center"/>
    </x:xf>
    <x:xf numFmtId="0" fontId="4" fillId="5" borderId="7" xfId="0" applyNumberFormat="1" applyFont="1" applyFill="1" applyBorder="1" applyAlignment="1">
      <x:alignment vertical="center"/>
    </x:xf>
    <x:xf numFmtId="0" fontId="4" fillId="5" borderId="8" xfId="0" applyNumberFormat="1" applyFont="1" applyFill="1" applyBorder="1" applyAlignment="1">
      <x:alignment vertical="center"/>
    </x:xf>
    <x:xf numFmtId="0" fontId="5" fillId="3"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6" fillId="6" borderId="9" xfId="0" applyNumberFormat="1" applyFont="1" applyFill="1" applyBorder="1" applyAlignment="1">
      <x:alignment vertical="center"/>
    </x:xf>
    <x:xf numFmtId="0" fontId="6" fillId="6" borderId="10" xfId="0" applyNumberFormat="1" applyFont="1" applyFill="1" applyBorder="1" applyAlignment="1">
      <x:alignment vertical="center"/>
    </x:xf>
    <x:xf numFmtId="0" fontId="6" fillId="6" borderId="11" xfId="0" applyNumberFormat="1" applyFont="1" applyFill="1" applyBorder="1" applyAlignment="1">
      <x:alignment vertical="center"/>
    </x:xf>
    <x:xf numFmtId="0" fontId="7" fillId="2" borderId="0" xfId="0" applyNumberFormat="1" applyFont="1" applyFill="1" applyBorder="1" applyAlignment="1">
      <x:alignment vertical="center"/>
    </x:xf>
    <x:xf numFmtId="0" fontId="7" fillId="2" borderId="0" xfId="0" applyNumberFormat="1" applyFont="1" applyFill="1" applyBorder="1" applyAlignment="1">
      <x:alignment horizontal="right" vertical="center"/>
    </x:xf>
    <x:xf numFmtId="0" fontId="5" fillId="3" borderId="0"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200" fontId="4" fillId="5" borderId="1" xfId="0" applyNumberFormat="1" applyFont="1" applyFill="1" applyBorder="1" applyAlignment="1">
      <x:alignment vertical="center"/>
    </x:xf>
    <x:xf numFmtId="200" fontId="4" fillId="5" borderId="2" xfId="0" applyNumberFormat="1" applyFont="1" applyFill="1" applyBorder="1" applyAlignment="1">
      <x:alignment vertical="center"/>
    </x:xf>
    <x:xf numFmtId="200" fontId="4" fillId="5" borderId="3" xfId="0" applyNumberFormat="1" applyFont="1" applyFill="1" applyBorder="1" applyAlignment="1">
      <x:alignment vertical="center"/>
    </x:xf>
    <x:xf numFmtId="200" fontId="4" fillId="5" borderId="4" xfId="0" applyNumberFormat="1" applyFont="1" applyFill="1" applyBorder="1" applyAlignment="1">
      <x:alignment vertical="center"/>
    </x:xf>
    <x:xf numFmtId="200" fontId="4" fillId="5" borderId="0" xfId="0" applyNumberFormat="1" applyFont="1" applyFill="1" applyBorder="1" applyAlignment="1">
      <x:alignment vertical="center"/>
    </x:xf>
    <x:xf numFmtId="200" fontId="4" fillId="5" borderId="5" xfId="0" applyNumberFormat="1" applyFont="1" applyFill="1" applyBorder="1" applyAlignment="1">
      <x:alignment vertical="center"/>
    </x:xf>
    <x:xf numFmtId="200" fontId="4" fillId="5" borderId="6" xfId="0" applyNumberFormat="1" applyFont="1" applyFill="1" applyBorder="1" applyAlignment="1">
      <x:alignment vertical="center"/>
    </x:xf>
    <x:xf numFmtId="200" fontId="4" fillId="5" borderId="7" xfId="0" applyNumberFormat="1" applyFont="1" applyFill="1" applyBorder="1" applyAlignment="1">
      <x:alignment vertical="center"/>
    </x:xf>
    <x:xf numFmtId="200" fontId="4" fillId="5" borderId="8" xfId="0" applyNumberFormat="1" applyFont="1" applyFill="1" applyBorder="1" applyAlignment="1">
      <x:alignment vertical="center"/>
    </x:xf>
    <x:xf numFmtId="201" fontId="4" fillId="5" borderId="1" xfId="0" applyNumberFormat="1" applyFont="1" applyFill="1" applyBorder="1" applyAlignment="1">
      <x:alignment vertical="center"/>
    </x:xf>
    <x:xf numFmtId="201" fontId="4" fillId="5" borderId="2" xfId="0" applyNumberFormat="1" applyFont="1" applyFill="1" applyBorder="1" applyAlignment="1">
      <x:alignment vertical="center"/>
    </x:xf>
    <x:xf numFmtId="201" fontId="4" fillId="5" borderId="3" xfId="0" applyNumberFormat="1" applyFont="1" applyFill="1" applyBorder="1" applyAlignment="1">
      <x:alignment vertical="center"/>
    </x:xf>
    <x:xf numFmtId="200" fontId="1" fillId="2" borderId="0" xfId="0" applyNumberFormat="1" applyFont="1" applyFill="1" applyBorder="1" applyAlignment="1">
      <x:alignment vertical="center"/>
    </x:xf>
    <x:xf numFmtId="202" fontId="1" fillId="2" borderId="0" xfId="0" applyNumberFormat="1" applyFont="1" applyFill="1" applyBorder="1" applyAlignment="1">
      <x:alignment vertical="center"/>
    </x:xf>
    <x:xf numFmtId="200" fontId="1" fillId="2" borderId="5" xfId="0" applyNumberFormat="1" applyFont="1" applyFill="1" applyBorder="1" applyAlignment="1">
      <x:alignment vertical="center"/>
    </x:xf>
    <x:xf numFmtId="200" fontId="1" fillId="2" borderId="12" xfId="0" applyNumberFormat="1" applyFont="1" applyFill="1" applyBorder="1" applyAlignment="1">
      <x:alignment vertical="center"/>
    </x:xf>
    <x:xf numFmtId="200" fontId="1" fillId="2" borderId="4" xfId="0" applyNumberFormat="1" applyFont="1" applyFill="1" applyBorder="1" applyAlignment="1">
      <x:alignment vertical="center"/>
    </x:xf>
    <x:xf numFmtId="202" fontId="1" fillId="2" borderId="5" xfId="0" applyNumberFormat="1" applyFont="1" applyFill="1" applyBorder="1" applyAlignment="1">
      <x:alignment vertical="center"/>
    </x:xf>
    <x:xf numFmtId="202" fontId="1" fillId="2" borderId="12" xfId="0" applyNumberFormat="1" applyFont="1" applyFill="1" applyBorder="1" applyAlignment="1">
      <x:alignment vertical="center"/>
    </x:xf>
    <x:xf numFmtId="202" fontId="1" fillId="2" borderId="4" xfId="0" applyNumberFormat="1" applyFont="1" applyFill="1" applyBorder="1" applyAlignment="1">
      <x:alignment vertical="center"/>
    </x:xf>
    <x:xf numFmtId="0" fontId="8" fillId="2" borderId="0" xfId="0" applyNumberFormat="1" applyFont="1" applyFill="1" applyBorder="1" applyAlignment="1">
      <x:alignment vertical="center"/>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4" fillId="5" borderId="9" xfId="0" applyNumberFormat="1" applyFont="1" applyFill="1" applyBorder="1" applyAlignment="1">
      <x:alignment vertical="center" wrapText="1"/>
    </x:xf>
    <x:xf numFmtId="0" fontId="4" fillId="5" borderId="10"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203" fontId="4" fillId="5" borderId="10" xfId="0" applyNumberFormat="1" applyFont="1" applyFill="1" applyBorder="1" applyAlignment="1">
      <x:alignment vertical="center" wrapText="1"/>
    </x:xf>
    <x:xf numFmtId="0" fontId="6" fillId="6" borderId="0" xfId="0" applyNumberFormat="1" applyFont="1" applyFill="1" applyBorder="1" applyAlignment="1">
      <x:alignment horizontal="center" vertical="center"/>
    </x:xf>
    <x:xf numFmtId="0" fontId="4" fillId="5" borderId="9" xfId="0" applyNumberFormat="1" applyFont="1" applyFill="1" applyBorder="1" applyAlignment="1">
      <x:alignment vertical="center"/>
    </x:xf>
    <x:xf numFmtId="0" fontId="4" fillId="5" borderId="10" xfId="0" applyNumberFormat="1" applyFont="1" applyFill="1" applyBorder="1" applyAlignment="1">
      <x:alignment vertical="center"/>
    </x:xf>
    <x:xf numFmtId="0" fontId="4" fillId="5" borderId="11" xfId="0" applyNumberFormat="1" applyFont="1" applyFill="1" applyBorder="1" applyAlignment="1">
      <x:alignment vertical="center"/>
    </x:xf>
    <x:xf numFmtId="0" fontId="9" fillId="6" borderId="0" xfId="0" applyNumberFormat="1" applyFont="1" applyFill="1" applyBorder="1" applyAlignment="1">
      <x:alignment vertical="center"/>
    </x:xf>
    <x:xf numFmtId="0" fontId="9" fillId="6" borderId="0" xfId="0" applyNumberFormat="1" applyFont="1" applyFill="1" applyBorder="1" applyAlignment="1">
      <x:alignment vertical="center" wrapText="1"/>
    </x:xf>
    <x:xf numFmtId="0" fontId="9" fillId="6" borderId="0" xfId="0" applyNumberFormat="1" applyFont="1" applyFill="1" applyBorder="1" applyAlignment="1">
      <x:alignment horizontal="center" vertical="center" wrapText="1"/>
    </x:xf>
    <x:xf numFmtId="0" fontId="10" fillId="5" borderId="0" xfId="0" applyNumberFormat="1" applyFont="1" applyFill="1" applyBorder="1" applyAlignment="1">
      <x:alignment vertical="center"/>
    </x:xf>
    <x:xf numFmtId="0" fontId="10" fillId="5" borderId="1" xfId="0" applyNumberFormat="1" applyFont="1" applyFill="1" applyBorder="1" applyAlignment="1">
      <x:alignment vertical="center"/>
    </x:xf>
    <x:xf numFmtId="0" fontId="10" fillId="5" borderId="2" xfId="0" applyNumberFormat="1" applyFont="1" applyFill="1" applyBorder="1" applyAlignment="1">
      <x:alignment vertical="center"/>
    </x:xf>
    <x:xf numFmtId="0" fontId="10" fillId="5" borderId="3" xfId="0" applyNumberFormat="1" applyFont="1" applyFill="1" applyBorder="1" applyAlignment="1">
      <x:alignment vertical="center"/>
    </x:xf>
    <x:xf numFmtId="0" fontId="10" fillId="5" borderId="4" xfId="0" applyNumberFormat="1" applyFont="1" applyFill="1" applyBorder="1" applyAlignment="1">
      <x:alignment vertical="center"/>
    </x:xf>
    <x:xf numFmtId="0" fontId="10" fillId="5" borderId="5" xfId="0" applyNumberFormat="1" applyFont="1" applyFill="1" applyBorder="1" applyAlignment="1">
      <x:alignment vertical="center"/>
    </x:xf>
    <x:xf numFmtId="0" fontId="10" fillId="5" borderId="6" xfId="0" applyNumberFormat="1" applyFont="1" applyFill="1" applyBorder="1" applyAlignment="1">
      <x:alignment vertical="center"/>
    </x:xf>
    <x:xf numFmtId="0" fontId="10" fillId="5" borderId="7" xfId="0" applyNumberFormat="1" applyFont="1" applyFill="1" applyBorder="1" applyAlignment="1">
      <x:alignment vertical="center"/>
    </x:xf>
    <x:xf numFmtId="0" fontId="10" fillId="5" borderId="8" xfId="0" applyNumberFormat="1" applyFont="1" applyFill="1" applyBorder="1" applyAlignment="1">
      <x:alignment vertical="center"/>
    </x:xf>
    <x:xf numFmtId="200" fontId="10" fillId="5" borderId="1" xfId="0" applyNumberFormat="1" applyFont="1" applyFill="1" applyBorder="1" applyAlignment="1">
      <x:alignment vertical="center"/>
    </x:xf>
    <x:xf numFmtId="200" fontId="10" fillId="5" borderId="2" xfId="0" applyNumberFormat="1" applyFont="1" applyFill="1" applyBorder="1" applyAlignment="1">
      <x:alignment vertical="center"/>
    </x:xf>
    <x:xf numFmtId="200" fontId="10" fillId="5" borderId="3" xfId="0" applyNumberFormat="1" applyFont="1" applyFill="1" applyBorder="1" applyAlignment="1">
      <x:alignment vertical="center"/>
    </x:xf>
    <x:xf numFmtId="200" fontId="10" fillId="5" borderId="4" xfId="0" applyNumberFormat="1" applyFont="1" applyFill="1" applyBorder="1" applyAlignment="1">
      <x:alignment vertical="center"/>
    </x:xf>
    <x:xf numFmtId="200" fontId="10" fillId="5" borderId="0" xfId="0" applyNumberFormat="1" applyFont="1" applyFill="1" applyBorder="1" applyAlignment="1">
      <x:alignment vertical="center"/>
    </x:xf>
    <x:xf numFmtId="200" fontId="10" fillId="5" borderId="5" xfId="0" applyNumberFormat="1" applyFont="1" applyFill="1" applyBorder="1" applyAlignment="1">
      <x:alignment vertical="center"/>
    </x:xf>
    <x:xf numFmtId="200" fontId="10" fillId="5" borderId="6" xfId="0" applyNumberFormat="1" applyFont="1" applyFill="1" applyBorder="1" applyAlignment="1">
      <x:alignment vertical="center"/>
    </x:xf>
    <x:xf numFmtId="200" fontId="10" fillId="5" borderId="7" xfId="0" applyNumberFormat="1" applyFont="1" applyFill="1" applyBorder="1" applyAlignment="1">
      <x:alignment vertical="center"/>
    </x:xf>
    <x:xf numFmtId="200" fontId="10" fillId="5" borderId="8" xfId="0" applyNumberFormat="1" applyFont="1" applyFill="1" applyBorder="1" applyAlignment="1">
      <x:alignment vertical="center"/>
    </x:xf>
    <x:xf numFmtId="200" fontId="10" fillId="5" borderId="1" xfId="0" applyNumberFormat="1" applyFont="1" applyFill="1" applyBorder="1" applyAlignment="1">
      <x:alignment horizontal="center" vertical="center"/>
    </x:xf>
    <x:xf numFmtId="200" fontId="10" fillId="5" borderId="2" xfId="0" applyNumberFormat="1" applyFont="1" applyFill="1" applyBorder="1" applyAlignment="1">
      <x:alignment horizontal="center" vertical="center"/>
    </x:xf>
    <x:xf numFmtId="200" fontId="10" fillId="5" borderId="3" xfId="0" applyNumberFormat="1" applyFont="1" applyFill="1" applyBorder="1" applyAlignment="1">
      <x:alignment horizontal="center" vertical="center"/>
    </x:xf>
    <x:xf numFmtId="200" fontId="10" fillId="5" borderId="4" xfId="0" applyNumberFormat="1" applyFont="1" applyFill="1" applyBorder="1" applyAlignment="1">
      <x:alignment horizontal="center" vertical="center"/>
    </x:xf>
    <x:xf numFmtId="200" fontId="10" fillId="5" borderId="0" xfId="0" applyNumberFormat="1" applyFont="1" applyFill="1" applyBorder="1" applyAlignment="1">
      <x:alignment horizontal="center" vertical="center"/>
    </x:xf>
    <x:xf numFmtId="200" fontId="10" fillId="5" borderId="5" xfId="0" applyNumberFormat="1" applyFont="1" applyFill="1" applyBorder="1" applyAlignment="1">
      <x:alignment horizontal="center" vertical="center"/>
    </x:xf>
    <x:xf numFmtId="200" fontId="10" fillId="5" borderId="6" xfId="0" applyNumberFormat="1" applyFont="1" applyFill="1" applyBorder="1" applyAlignment="1">
      <x:alignment horizontal="center" vertical="center"/>
    </x:xf>
    <x:xf numFmtId="200" fontId="10" fillId="5" borderId="7" xfId="0" applyNumberFormat="1" applyFont="1" applyFill="1" applyBorder="1" applyAlignment="1">
      <x:alignment horizontal="center" vertical="center"/>
    </x:xf>
    <x:xf numFmtId="200" fontId="10" fillId="5" borderId="8" xfId="0" applyNumberFormat="1" applyFont="1" applyFill="1" applyBorder="1" applyAlignment="1">
      <x:alignment horizontal="center" vertical="center"/>
    </x:xf>
    <x:xf numFmtId="0" fontId="11" fillId="5" borderId="0" xfId="0" applyNumberFormat="1" applyFont="1" applyFill="1" applyBorder="1" applyAlignment="1">
      <x:alignment vertical="center"/>
    </x:xf>
    <x:xf numFmtId="0" fontId="11" fillId="5" borderId="1" xfId="0" applyNumberFormat="1" applyFont="1" applyFill="1" applyBorder="1" applyAlignment="1">
      <x:alignment vertical="center"/>
    </x:xf>
    <x:xf numFmtId="0" fontId="11" fillId="5" borderId="2" xfId="0" applyNumberFormat="1" applyFont="1" applyFill="1" applyBorder="1" applyAlignment="1">
      <x:alignment vertical="center"/>
    </x:xf>
    <x:xf numFmtId="0" fontId="11" fillId="5" borderId="3" xfId="0" applyNumberFormat="1" applyFont="1" applyFill="1" applyBorder="1" applyAlignment="1">
      <x:alignment vertical="center"/>
    </x:xf>
    <x:xf numFmtId="0" fontId="11" fillId="5" borderId="4" xfId="0" applyNumberFormat="1" applyFont="1" applyFill="1" applyBorder="1" applyAlignment="1">
      <x:alignment vertical="center"/>
    </x:xf>
    <x:xf numFmtId="0" fontId="11" fillId="5" borderId="5" xfId="0" applyNumberFormat="1" applyFont="1" applyFill="1" applyBorder="1" applyAlignment="1">
      <x:alignment vertical="center"/>
    </x:xf>
    <x:xf numFmtId="0" fontId="11" fillId="5" borderId="6" xfId="0" applyNumberFormat="1" applyFont="1" applyFill="1" applyBorder="1" applyAlignment="1">
      <x:alignment vertical="center"/>
    </x:xf>
    <x:xf numFmtId="0" fontId="11" fillId="5" borderId="7" xfId="0" applyNumberFormat="1" applyFont="1" applyFill="1" applyBorder="1" applyAlignment="1">
      <x:alignment vertical="center"/>
    </x:xf>
    <x:xf numFmtId="0" fontId="11" fillId="5" borderId="8" xfId="0" applyNumberFormat="1" applyFont="1" applyFill="1" applyBorder="1" applyAlignment="1">
      <x:alignment vertical="center"/>
    </x:xf>
    <x:xf numFmtId="201" fontId="11" fillId="5" borderId="1" xfId="0" applyNumberFormat="1" applyFont="1" applyFill="1" applyBorder="1" applyAlignment="1">
      <x:alignment vertical="center"/>
    </x:xf>
    <x:xf numFmtId="201" fontId="11" fillId="5" borderId="2" xfId="0" applyNumberFormat="1" applyFont="1" applyFill="1" applyBorder="1" applyAlignment="1">
      <x:alignment vertical="center"/>
    </x:xf>
    <x:xf numFmtId="201" fontId="11" fillId="5" borderId="3" xfId="0" applyNumberFormat="1" applyFont="1" applyFill="1" applyBorder="1" applyAlignment="1">
      <x:alignment vertical="center"/>
    </x:xf>
    <x:xf numFmtId="201" fontId="11" fillId="5" borderId="4" xfId="0" applyNumberFormat="1" applyFont="1" applyFill="1" applyBorder="1" applyAlignment="1">
      <x:alignment vertical="center"/>
    </x:xf>
    <x:xf numFmtId="201" fontId="11" fillId="5" borderId="0" xfId="0" applyNumberFormat="1" applyFont="1" applyFill="1" applyBorder="1" applyAlignment="1">
      <x:alignment vertical="center"/>
    </x:xf>
    <x:xf numFmtId="201" fontId="11" fillId="5" borderId="5" xfId="0" applyNumberFormat="1" applyFont="1" applyFill="1" applyBorder="1" applyAlignment="1">
      <x:alignment vertical="center"/>
    </x:xf>
    <x:xf numFmtId="201" fontId="11" fillId="5" borderId="6" xfId="0" applyNumberFormat="1" applyFont="1" applyFill="1" applyBorder="1" applyAlignment="1">
      <x:alignment vertical="center"/>
    </x:xf>
    <x:xf numFmtId="201" fontId="11" fillId="5" borderId="7" xfId="0" applyNumberFormat="1" applyFont="1" applyFill="1" applyBorder="1" applyAlignment="1">
      <x:alignment vertical="center"/>
    </x:xf>
    <x:xf numFmtId="201" fontId="11" fillId="5" borderId="8" xfId="0" applyNumberFormat="1" applyFont="1" applyFill="1" applyBorder="1" applyAlignment="1">
      <x:alignment vertical="center"/>
    </x:xf>
    <x:xf numFmtId="201" fontId="11" fillId="5" borderId="1" xfId="0" applyNumberFormat="1" applyFont="1" applyFill="1" applyBorder="1" applyAlignment="1">
      <x:alignment horizontal="center" vertical="center"/>
    </x:xf>
    <x:xf numFmtId="201" fontId="11" fillId="5" borderId="2" xfId="0" applyNumberFormat="1" applyFont="1" applyFill="1" applyBorder="1" applyAlignment="1">
      <x:alignment horizontal="center" vertical="center"/>
    </x:xf>
    <x:xf numFmtId="201" fontId="11" fillId="5" borderId="3" xfId="0" applyNumberFormat="1" applyFont="1" applyFill="1" applyBorder="1" applyAlignment="1">
      <x:alignment horizontal="center" vertical="center"/>
    </x:xf>
    <x:xf numFmtId="201" fontId="11" fillId="5" borderId="4" xfId="0" applyNumberFormat="1" applyFont="1" applyFill="1" applyBorder="1" applyAlignment="1">
      <x:alignment horizontal="center" vertical="center"/>
    </x:xf>
    <x:xf numFmtId="201" fontId="11" fillId="5" borderId="0" xfId="0" applyNumberFormat="1" applyFont="1" applyFill="1" applyBorder="1" applyAlignment="1">
      <x:alignment horizontal="center" vertical="center"/>
    </x:xf>
    <x:xf numFmtId="201" fontId="11" fillId="5" borderId="5" xfId="0" applyNumberFormat="1" applyFont="1" applyFill="1" applyBorder="1" applyAlignment="1">
      <x:alignment horizontal="center" vertical="center"/>
    </x:xf>
    <x:xf numFmtId="201" fontId="11" fillId="5" borderId="6" xfId="0" applyNumberFormat="1" applyFont="1" applyFill="1" applyBorder="1" applyAlignment="1">
      <x:alignment horizontal="center" vertical="center"/>
    </x:xf>
    <x:xf numFmtId="201" fontId="11" fillId="5" borderId="7" xfId="0" applyNumberFormat="1" applyFont="1" applyFill="1" applyBorder="1" applyAlignment="1">
      <x:alignment horizontal="center" vertical="center"/>
    </x:xf>
    <x:xf numFmtId="201" fontId="11" fillId="5" borderId="8" xfId="0" applyNumberFormat="1" applyFont="1" applyFill="1" applyBorder="1" applyAlignment="1">
      <x:alignment horizontal="center" vertical="center"/>
    </x:xf>
    <x:xf numFmtId="200" fontId="11" fillId="5" borderId="1" xfId="0" applyNumberFormat="1" applyFont="1" applyFill="1" applyBorder="1" applyAlignment="1">
      <x:alignment vertical="center"/>
    </x:xf>
    <x:xf numFmtId="200" fontId="11" fillId="5" borderId="2" xfId="0" applyNumberFormat="1" applyFont="1" applyFill="1" applyBorder="1" applyAlignment="1">
      <x:alignment vertical="center"/>
    </x:xf>
    <x:xf numFmtId="200" fontId="11" fillId="5" borderId="3" xfId="0" applyNumberFormat="1" applyFont="1" applyFill="1" applyBorder="1" applyAlignment="1">
      <x:alignment vertical="center"/>
    </x:xf>
    <x:xf numFmtId="200" fontId="11" fillId="5" borderId="4" xfId="0" applyNumberFormat="1" applyFont="1" applyFill="1" applyBorder="1" applyAlignment="1">
      <x:alignment vertical="center"/>
    </x:xf>
    <x:xf numFmtId="200" fontId="11" fillId="5" borderId="0" xfId="0" applyNumberFormat="1" applyFont="1" applyFill="1" applyBorder="1" applyAlignment="1">
      <x:alignment vertical="center"/>
    </x:xf>
    <x:xf numFmtId="200" fontId="11" fillId="5" borderId="5" xfId="0" applyNumberFormat="1" applyFont="1" applyFill="1" applyBorder="1" applyAlignment="1">
      <x:alignment vertical="center"/>
    </x:xf>
    <x:xf numFmtId="200" fontId="11" fillId="5" borderId="6" xfId="0" applyNumberFormat="1" applyFont="1" applyFill="1" applyBorder="1" applyAlignment="1">
      <x:alignment vertical="center"/>
    </x:xf>
    <x:xf numFmtId="200" fontId="11" fillId="5" borderId="7" xfId="0" applyNumberFormat="1" applyFont="1" applyFill="1" applyBorder="1" applyAlignment="1">
      <x:alignment vertical="center"/>
    </x:xf>
    <x:xf numFmtId="200" fontId="11" fillId="5" borderId="8" xfId="0" applyNumberFormat="1" applyFont="1" applyFill="1" applyBorder="1" applyAlignment="1">
      <x:alignment vertical="center"/>
    </x:xf>
    <x:xf numFmtId="200" fontId="11" fillId="5" borderId="1" xfId="0" applyNumberFormat="1" applyFont="1" applyFill="1" applyBorder="1" applyAlignment="1">
      <x:alignment horizontal="center" vertical="center"/>
    </x:xf>
    <x:xf numFmtId="200" fontId="11" fillId="5" borderId="2" xfId="0" applyNumberFormat="1" applyFont="1" applyFill="1" applyBorder="1" applyAlignment="1">
      <x:alignment horizontal="center" vertical="center"/>
    </x:xf>
    <x:xf numFmtId="200" fontId="11" fillId="5" borderId="3" xfId="0" applyNumberFormat="1" applyFont="1" applyFill="1" applyBorder="1" applyAlignment="1">
      <x:alignment horizontal="center" vertical="center"/>
    </x:xf>
    <x:xf numFmtId="200" fontId="11" fillId="5" borderId="4" xfId="0" applyNumberFormat="1" applyFont="1" applyFill="1" applyBorder="1" applyAlignment="1">
      <x:alignment horizontal="center" vertical="center"/>
    </x:xf>
    <x:xf numFmtId="200" fontId="11" fillId="5" borderId="0" xfId="0" applyNumberFormat="1" applyFont="1" applyFill="1" applyBorder="1" applyAlignment="1">
      <x:alignment horizontal="center" vertical="center"/>
    </x:xf>
    <x:xf numFmtId="200" fontId="11" fillId="5" borderId="5" xfId="0" applyNumberFormat="1" applyFont="1" applyFill="1" applyBorder="1" applyAlignment="1">
      <x:alignment horizontal="center" vertical="center"/>
    </x:xf>
    <x:xf numFmtId="200" fontId="11" fillId="5" borderId="6" xfId="0" applyNumberFormat="1" applyFont="1" applyFill="1" applyBorder="1" applyAlignment="1">
      <x:alignment horizontal="center" vertical="center"/>
    </x:xf>
    <x:xf numFmtId="200" fontId="11" fillId="5" borderId="7" xfId="0" applyNumberFormat="1" applyFont="1" applyFill="1" applyBorder="1" applyAlignment="1">
      <x:alignment horizontal="center" vertical="center"/>
    </x:xf>
    <x:xf numFmtId="200" fontId="11" fillId="5" borderId="8" xfId="0" applyNumberFormat="1" applyFont="1" applyFill="1" applyBorder="1" applyAlignment="1">
      <x:alignment horizontal="center" vertical="center"/>
    </x:xf>
    <x:xf numFmtId="202" fontId="11" fillId="5" borderId="1" xfId="0" applyNumberFormat="1" applyFont="1" applyFill="1" applyBorder="1" applyAlignment="1">
      <x:alignment vertical="center"/>
    </x:xf>
    <x:xf numFmtId="202" fontId="11" fillId="5" borderId="2" xfId="0" applyNumberFormat="1" applyFont="1" applyFill="1" applyBorder="1" applyAlignment="1">
      <x:alignment vertical="center"/>
    </x:xf>
    <x:xf numFmtId="202" fontId="11" fillId="5" borderId="3" xfId="0" applyNumberFormat="1" applyFont="1" applyFill="1" applyBorder="1" applyAlignment="1">
      <x:alignment vertical="center"/>
    </x:xf>
    <x:xf numFmtId="202" fontId="11" fillId="5" borderId="4" xfId="0" applyNumberFormat="1" applyFont="1" applyFill="1" applyBorder="1" applyAlignment="1">
      <x:alignment vertical="center"/>
    </x:xf>
    <x:xf numFmtId="202" fontId="11" fillId="5" borderId="0" xfId="0" applyNumberFormat="1" applyFont="1" applyFill="1" applyBorder="1" applyAlignment="1">
      <x:alignment vertical="center"/>
    </x:xf>
    <x:xf numFmtId="202" fontId="11" fillId="5" borderId="5" xfId="0" applyNumberFormat="1" applyFont="1" applyFill="1" applyBorder="1" applyAlignment="1">
      <x:alignment vertical="center"/>
    </x:xf>
    <x:xf numFmtId="202" fontId="11" fillId="5" borderId="6" xfId="0" applyNumberFormat="1" applyFont="1" applyFill="1" applyBorder="1" applyAlignment="1">
      <x:alignment vertical="center"/>
    </x:xf>
    <x:xf numFmtId="202" fontId="11" fillId="5" borderId="7" xfId="0" applyNumberFormat="1" applyFont="1" applyFill="1" applyBorder="1" applyAlignment="1">
      <x:alignment vertical="center"/>
    </x:xf>
    <x:xf numFmtId="202" fontId="11" fillId="5" borderId="8" xfId="0" applyNumberFormat="1" applyFont="1" applyFill="1" applyBorder="1" applyAlignment="1">
      <x:alignment vertical="center"/>
    </x:xf>
    <x:xf numFmtId="202" fontId="11" fillId="5" borderId="1" xfId="0" applyNumberFormat="1" applyFont="1" applyFill="1" applyBorder="1" applyAlignment="1">
      <x:alignment horizontal="center" vertical="center"/>
    </x:xf>
    <x:xf numFmtId="202" fontId="11" fillId="5" borderId="2" xfId="0" applyNumberFormat="1" applyFont="1" applyFill="1" applyBorder="1" applyAlignment="1">
      <x:alignment horizontal="center" vertical="center"/>
    </x:xf>
    <x:xf numFmtId="202" fontId="11" fillId="5" borderId="3" xfId="0" applyNumberFormat="1" applyFont="1" applyFill="1" applyBorder="1" applyAlignment="1">
      <x:alignment horizontal="center" vertical="center"/>
    </x:xf>
    <x:xf numFmtId="202" fontId="11" fillId="5" borderId="4" xfId="0" applyNumberFormat="1" applyFont="1" applyFill="1" applyBorder="1" applyAlignment="1">
      <x:alignment horizontal="center" vertical="center"/>
    </x:xf>
    <x:xf numFmtId="202" fontId="11" fillId="5" borderId="0" xfId="0" applyNumberFormat="1" applyFont="1" applyFill="1" applyBorder="1" applyAlignment="1">
      <x:alignment horizontal="center" vertical="center"/>
    </x:xf>
    <x:xf numFmtId="202" fontId="11" fillId="5" borderId="5" xfId="0" applyNumberFormat="1" applyFont="1" applyFill="1" applyBorder="1" applyAlignment="1">
      <x:alignment horizontal="center" vertical="center"/>
    </x:xf>
    <x:xf numFmtId="202" fontId="11" fillId="5" borderId="6" xfId="0" applyNumberFormat="1" applyFont="1" applyFill="1" applyBorder="1" applyAlignment="1">
      <x:alignment horizontal="center" vertical="center"/>
    </x:xf>
    <x:xf numFmtId="202" fontId="11" fillId="5" borderId="7" xfId="0" applyNumberFormat="1" applyFont="1" applyFill="1" applyBorder="1" applyAlignment="1">
      <x:alignment horizontal="center" vertical="center"/>
    </x:xf>
    <x:xf numFmtId="202" fontId="11" fillId="5" borderId="8" xfId="0" applyNumberFormat="1" applyFont="1" applyFill="1" applyBorder="1" applyAlignment="1">
      <x:alignment horizontal="center" vertical="center"/>
    </x:xf>
    <x:xf numFmtId="0" fontId="12" fillId="5" borderId="0" xfId="0" applyNumberFormat="1" applyFont="1" applyFill="1" applyBorder="1" applyAlignment="1">
      <x:alignment vertical="center"/>
    </x:xf>
    <x:xf numFmtId="0" fontId="12" fillId="5" borderId="1" xfId="0" applyNumberFormat="1" applyFont="1" applyFill="1" applyBorder="1" applyAlignment="1">
      <x:alignment vertical="center"/>
    </x:xf>
    <x:xf numFmtId="0" fontId="12" fillId="5" borderId="3" xfId="0" applyNumberFormat="1" applyFont="1" applyFill="1" applyBorder="1" applyAlignment="1">
      <x:alignment vertical="center"/>
    </x:xf>
    <x:xf numFmtId="0" fontId="12" fillId="5" borderId="4" xfId="0" applyNumberFormat="1" applyFont="1" applyFill="1" applyBorder="1" applyAlignment="1">
      <x:alignment vertical="center"/>
    </x:xf>
    <x:xf numFmtId="0" fontId="12" fillId="5" borderId="5" xfId="0" applyNumberFormat="1" applyFont="1" applyFill="1" applyBorder="1" applyAlignment="1">
      <x:alignment vertical="center"/>
    </x:xf>
    <x:xf numFmtId="0" fontId="12" fillId="5" borderId="6" xfId="0" applyNumberFormat="1" applyFont="1" applyFill="1" applyBorder="1" applyAlignment="1">
      <x:alignment vertical="center"/>
    </x:xf>
    <x:xf numFmtId="0" fontId="12" fillId="5" borderId="8" xfId="0" applyNumberFormat="1" applyFont="1" applyFill="1" applyBorder="1" applyAlignment="1">
      <x:alignment vertical="center"/>
    </x:xf>
    <x:xf numFmtId="0" fontId="12" fillId="5" borderId="1" xfId="0" applyNumberFormat="1" applyFont="1" applyFill="1" applyBorder="1" applyAlignment="1">
      <x:alignment horizontal="center" vertical="center"/>
    </x:xf>
    <x:xf numFmtId="0" fontId="12" fillId="5" borderId="3" xfId="0" applyNumberFormat="1" applyFont="1" applyFill="1" applyBorder="1" applyAlignment="1">
      <x:alignment horizontal="center" vertical="center"/>
    </x:xf>
    <x:xf numFmtId="0" fontId="12" fillId="5" borderId="4" xfId="0" applyNumberFormat="1" applyFont="1" applyFill="1" applyBorder="1" applyAlignment="1">
      <x:alignment horizontal="center" vertical="center"/>
    </x:xf>
    <x:xf numFmtId="0" fontId="12" fillId="5" borderId="5" xfId="0" applyNumberFormat="1" applyFont="1" applyFill="1" applyBorder="1" applyAlignment="1">
      <x:alignment horizontal="center" vertical="center"/>
    </x:xf>
    <x:xf numFmtId="0" fontId="12" fillId="5" borderId="6" xfId="0" applyNumberFormat="1" applyFont="1" applyFill="1" applyBorder="1" applyAlignment="1">
      <x:alignment horizontal="center" vertical="center"/>
    </x:xf>
    <x:xf numFmtId="0" fontId="12" fillId="5" borderId="8" xfId="0" applyNumberFormat="1" applyFont="1" applyFill="1" applyBorder="1" applyAlignment="1">
      <x:alignment horizontal="center" vertical="center"/>
    </x:xf>
    <x:xf numFmtId="204" fontId="1" fillId="2" borderId="0" xfId="0" applyNumberFormat="1" applyFont="1" applyFill="1" applyBorder="1" applyAlignment="1">
      <x:alignment vertical="center"/>
    </x:xf>
    <x:xf numFmtId="0" fontId="1" fillId="2" borderId="7" xfId="0" applyNumberFormat="1" applyFont="1" applyFill="1" applyBorder="1" applyAlignment="1">
      <x:alignment vertical="center"/>
    </x:xf>
    <x:xf numFmtId="0" fontId="1" fillId="2" borderId="10" xfId="0" applyNumberFormat="1" applyFont="1" applyFill="1" applyBorder="1" applyAlignment="1">
      <x:alignment vertical="center"/>
    </x:xf>
    <x:xf numFmtId="0" fontId="1" fillId="2" borderId="2" xfId="0" applyNumberFormat="1" applyFont="1" applyFill="1" applyBorder="1" applyAlignment="1">
      <x:alignment vertical="center"/>
    </x:xf>
    <x:xf numFmtId="0" fontId="1" fillId="2" borderId="7" xfId="0" applyNumberFormat="1" applyFont="1" applyFill="1" applyBorder="1" applyAlignment="1">
      <x:alignment vertical="center" wrapText="1"/>
    </x:xf>
    <x:xf numFmtId="0" fontId="1" fillId="2" borderId="10"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203" fontId="1" fillId="2" borderId="7" xfId="0" applyNumberFormat="1" applyFont="1" applyFill="1" applyBorder="1" applyAlignment="1">
      <x:alignment vertical="center" wrapText="1"/>
    </x:xf>
    <x:xf numFmtId="203" fontId="1" fillId="2" borderId="10" xfId="0" applyNumberFormat="1" applyFont="1" applyFill="1" applyBorder="1" applyAlignment="1">
      <x:alignment vertical="center" wrapText="1"/>
    </x:xf>
    <x:xf numFmtId="203" fontId="1" fillId="2" borderId="2" xfId="0" applyNumberFormat="1" applyFont="1" applyFill="1" applyBorder="1" applyAlignment="1">
      <x:alignment vertical="center" wrapText="1"/>
    </x:xf>
    <x:xf numFmtId="0" fontId="9" fillId="6" borderId="0" xfId="0" applyNumberFormat="1" applyFont="1" applyFill="1" applyBorder="1" applyAlignment="1">
      <x:alignment horizontal="center" vertical="center"/>
    </x:xf>
    <x:xf numFmtId="0" fontId="13" fillId="2" borderId="0" xfId="0" applyNumberFormat="1" applyFont="1" applyFill="1" applyBorder="1" applyAlignment="1">
      <x:alignment vertical="center"/>
    </x:xf>
    <x:xf numFmtId="0" fontId="13" fillId="2" borderId="1" xfId="0" applyNumberFormat="1" applyFont="1" applyFill="1" applyBorder="1" applyAlignment="1">
      <x:alignment vertical="center"/>
    </x:xf>
    <x:xf numFmtId="0" fontId="13" fillId="2" borderId="2" xfId="0" applyNumberFormat="1" applyFont="1" applyFill="1" applyBorder="1" applyAlignment="1">
      <x:alignment vertical="center"/>
    </x:xf>
    <x:xf numFmtId="0" fontId="13" fillId="2" borderId="3" xfId="0" applyNumberFormat="1" applyFont="1" applyFill="1" applyBorder="1" applyAlignment="1">
      <x:alignment vertical="center"/>
    </x:xf>
    <x:xf numFmtId="0" fontId="13" fillId="2" borderId="4" xfId="0" applyNumberFormat="1" applyFont="1" applyFill="1" applyBorder="1" applyAlignment="1">
      <x:alignment vertical="center"/>
    </x:xf>
    <x:xf numFmtId="0" fontId="13" fillId="2" borderId="5" xfId="0" applyNumberFormat="1" applyFont="1" applyFill="1" applyBorder="1" applyAlignment="1">
      <x:alignment vertical="center"/>
    </x:xf>
    <x:xf numFmtId="0" fontId="13" fillId="2" borderId="6" xfId="0" applyNumberFormat="1" applyFont="1" applyFill="1" applyBorder="1" applyAlignment="1">
      <x:alignment vertical="center"/>
    </x:xf>
    <x:xf numFmtId="0" fontId="13" fillId="2" borderId="7" xfId="0" applyNumberFormat="1" applyFont="1" applyFill="1" applyBorder="1" applyAlignment="1">
      <x:alignment vertical="center"/>
    </x:xf>
    <x:xf numFmtId="0" fontId="13" fillId="2" borderId="8" xfId="0" applyNumberFormat="1" applyFont="1" applyFill="1" applyBorder="1" applyAlignment="1">
      <x:alignment vertical="center"/>
    </x:xf>
    <x:xf numFmtId="0" fontId="13" fillId="2" borderId="1" xfId="0" applyNumberFormat="1" applyFont="1" applyFill="1" applyBorder="1" applyAlignment="1">
      <x:alignment horizontal="center" vertical="center"/>
    </x:xf>
    <x:xf numFmtId="0" fontId="13" fillId="2" borderId="2" xfId="0" applyNumberFormat="1" applyFont="1" applyFill="1" applyBorder="1" applyAlignment="1">
      <x:alignment horizontal="center" vertical="center"/>
    </x:xf>
    <x:xf numFmtId="0" fontId="13" fillId="2" borderId="3" xfId="0" applyNumberFormat="1" applyFont="1" applyFill="1" applyBorder="1" applyAlignment="1">
      <x:alignment horizontal="center" vertical="center"/>
    </x:xf>
    <x:xf numFmtId="0" fontId="13" fillId="2" borderId="4" xfId="0" applyNumberFormat="1" applyFont="1" applyFill="1" applyBorder="1" applyAlignment="1">
      <x:alignment horizontal="center" vertical="center"/>
    </x:xf>
    <x:xf numFmtId="0" fontId="13" fillId="2" borderId="0" xfId="0" applyNumberFormat="1" applyFont="1" applyFill="1" applyBorder="1" applyAlignment="1">
      <x:alignment horizontal="center" vertical="center"/>
    </x:xf>
    <x:xf numFmtId="0" fontId="13" fillId="2" borderId="5" xfId="0" applyNumberFormat="1" applyFont="1" applyFill="1" applyBorder="1" applyAlignment="1">
      <x:alignment horizontal="center" vertical="center"/>
    </x:xf>
    <x:xf numFmtId="0" fontId="13" fillId="2" borderId="6" xfId="0" applyNumberFormat="1" applyFont="1" applyFill="1" applyBorder="1" applyAlignment="1">
      <x:alignment horizontal="center" vertical="center"/>
    </x:xf>
    <x:xf numFmtId="0" fontId="13" fillId="2" borderId="7" xfId="0" applyNumberFormat="1" applyFont="1" applyFill="1" applyBorder="1" applyAlignment="1">
      <x:alignment horizontal="center" vertical="center"/>
    </x:xf>
    <x:xf numFmtId="0" fontId="13" fillId="2" borderId="8" xfId="0" applyNumberFormat="1" applyFont="1" applyFill="1" applyBorder="1" applyAlignment="1">
      <x:alignment horizontal="center" vertical="center"/>
    </x:xf>
    <x:xf numFmtId="200" fontId="13" fillId="2" borderId="1" xfId="0" applyNumberFormat="1" applyFont="1" applyFill="1" applyBorder="1" applyAlignment="1">
      <x:alignment vertical="center"/>
    </x:xf>
    <x:xf numFmtId="200" fontId="13" fillId="2" borderId="2" xfId="0" applyNumberFormat="1" applyFont="1" applyFill="1" applyBorder="1" applyAlignment="1">
      <x:alignment vertical="center"/>
    </x:xf>
    <x:xf numFmtId="200" fontId="13" fillId="2" borderId="3" xfId="0" applyNumberFormat="1" applyFont="1" applyFill="1" applyBorder="1" applyAlignment="1">
      <x:alignment vertical="center"/>
    </x:xf>
    <x:xf numFmtId="200" fontId="13" fillId="2" borderId="4" xfId="0" applyNumberFormat="1" applyFont="1" applyFill="1" applyBorder="1" applyAlignment="1">
      <x:alignment vertical="center"/>
    </x:xf>
    <x:xf numFmtId="200" fontId="13" fillId="2" borderId="0" xfId="0" applyNumberFormat="1" applyFont="1" applyFill="1" applyBorder="1" applyAlignment="1">
      <x:alignment vertical="center"/>
    </x:xf>
    <x:xf numFmtId="200" fontId="13" fillId="2" borderId="5" xfId="0" applyNumberFormat="1" applyFont="1" applyFill="1" applyBorder="1" applyAlignment="1">
      <x:alignment vertical="center"/>
    </x:xf>
    <x:xf numFmtId="200" fontId="13" fillId="2" borderId="6" xfId="0" applyNumberFormat="1" applyFont="1" applyFill="1" applyBorder="1" applyAlignment="1">
      <x:alignment vertical="center"/>
    </x:xf>
    <x:xf numFmtId="200" fontId="13" fillId="2" borderId="7" xfId="0" applyNumberFormat="1" applyFont="1" applyFill="1" applyBorder="1" applyAlignment="1">
      <x:alignment vertical="center"/>
    </x:xf>
    <x:xf numFmtId="200" fontId="13" fillId="2" borderId="8" xfId="0" applyNumberFormat="1" applyFont="1" applyFill="1" applyBorder="1" applyAlignment="1">
      <x:alignment vertical="center"/>
    </x:xf>
    <x:xf numFmtId="200" fontId="13" fillId="2" borderId="1" xfId="0" applyNumberFormat="1" applyFont="1" applyFill="1" applyBorder="1" applyAlignment="1">
      <x:alignment horizontal="center" vertical="center"/>
    </x:xf>
    <x:xf numFmtId="200" fontId="13" fillId="2" borderId="2" xfId="0" applyNumberFormat="1" applyFont="1" applyFill="1" applyBorder="1" applyAlignment="1">
      <x:alignment horizontal="center" vertical="center"/>
    </x:xf>
    <x:xf numFmtId="200" fontId="13" fillId="2" borderId="3" xfId="0" applyNumberFormat="1" applyFont="1" applyFill="1" applyBorder="1" applyAlignment="1">
      <x:alignment horizontal="center" vertical="center"/>
    </x:xf>
    <x:xf numFmtId="200" fontId="13" fillId="2" borderId="4" xfId="0" applyNumberFormat="1" applyFont="1" applyFill="1" applyBorder="1" applyAlignment="1">
      <x:alignment horizontal="center" vertical="center"/>
    </x:xf>
    <x:xf numFmtId="200" fontId="13" fillId="2" borderId="0" xfId="0" applyNumberFormat="1" applyFont="1" applyFill="1" applyBorder="1" applyAlignment="1">
      <x:alignment horizontal="center" vertical="center"/>
    </x:xf>
    <x:xf numFmtId="200" fontId="13" fillId="2" borderId="5" xfId="0" applyNumberFormat="1" applyFont="1" applyFill="1" applyBorder="1" applyAlignment="1">
      <x:alignment horizontal="center" vertical="center"/>
    </x:xf>
    <x:xf numFmtId="200" fontId="13" fillId="2" borderId="6" xfId="0" applyNumberFormat="1" applyFont="1" applyFill="1" applyBorder="1" applyAlignment="1">
      <x:alignment horizontal="center" vertical="center"/>
    </x:xf>
    <x:xf numFmtId="200" fontId="13" fillId="2" borderId="7" xfId="0" applyNumberFormat="1" applyFont="1" applyFill="1" applyBorder="1" applyAlignment="1">
      <x:alignment horizontal="center" vertical="center"/>
    </x:xf>
    <x:xf numFmtId="200" fontId="13" fillId="2" borderId="8" xfId="0" applyNumberFormat="1" applyFont="1" applyFill="1" applyBorder="1" applyAlignment="1">
      <x:alignment horizontal="center" vertical="center"/>
    </x:xf>
    <x:xf numFmtId="204" fontId="8" fillId="2" borderId="0" xfId="0" applyNumberFormat="1" applyFont="1" applyFill="1" applyBorder="1" applyAlignment="1">
      <x:alignment vertical="center"/>
    </x:xf>
  </x:cellXfs>
  <x:cellStyles count="1">
    <x:cellStyle name="Normal" xfId="0"/>
  </x:cellStyles>
  <x:dxfs count="7">
    <x:dxf>
      <x:font>
        <x:b/>
        <x:color rgb="FF315F46"/>
      </x:font>
      <x:fill>
        <x:patternFill patternType="solid">
          <x:bgColor rgb="FFDDF3E4"/>
        </x:patternFill>
      </x:fill>
    </x:dxf>
    <x:dxf>
      <x:font>
        <x:b/>
        <x:color rgb="FF8B2E22"/>
      </x:font>
      <x:fill>
        <x:patternFill patternType="solid">
          <x:bgColor rgb="FFFBE2DE"/>
        </x:patternFill>
      </x:fill>
    </x:dxf>
    <x:dxf>
      <x:font>
        <x:b/>
        <x:color rgb="FF315F46"/>
      </x:font>
      <x:fill>
        <x:patternFill patternType="solid">
          <x:bgColor rgb="FFDDF3E4"/>
        </x:patternFill>
      </x:fill>
    </x:dxf>
    <x:dxf>
      <x:font>
        <x:b/>
        <x:color rgb="FF8B2E22"/>
      </x:font>
      <x:fill>
        <x:patternFill patternType="solid">
          <x:bgColor rgb="FFFBE2DE"/>
        </x:patternFill>
      </x:fill>
    </x:dxf>
    <x:dxf>
      <x:font>
        <x:b/>
        <x:color rgb="FF315F46"/>
      </x:font>
      <x:fill>
        <x:patternFill patternType="solid">
          <x:bgColor rgb="FFDDE8DF"/>
        </x:patternFill>
      </x:fill>
    </x:dxf>
    <x:dxf>
      <x:font>
        <x:b/>
        <x:color rgb="FF315F46"/>
      </x:font>
      <x:fill>
        <x:patternFill patternType="solid">
          <x:bgColor rgb="FFDDF3E4"/>
        </x:patternFill>
      </x:fill>
    </x:dxf>
    <x:dxf>
      <x:font>
        <x:b/>
        <x:color rgb="FF8B2E22"/>
      </x:font>
      <x:fill>
        <x:patternFill patternType="solid">
          <x:bgColor rgb="FFFBE2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2b9c9de8d94b8f" /><Relationship Type="http://schemas.openxmlformats.org/officeDocument/2006/relationships/theme" Target="/xl/theme/theme1.xml" Id="R30d5d523cd9b4268" /><Relationship Type="http://schemas.openxmlformats.org/officeDocument/2006/relationships/sharedStrings" Target="/xl/sharedStrings.xml" Id="Rce71f5a4c7814dbc" /><Relationship Type="http://schemas.openxmlformats.org/officeDocument/2006/relationships/worksheet" Target="/xl/worksheets/sheet1.xml" Id="R446b9b5b3cb24571" /><Relationship Type="http://schemas.openxmlformats.org/officeDocument/2006/relationships/worksheet" Target="/xl/worksheets/sheet2.xml" Id="R26e544840f39412f" /><Relationship Type="http://schemas.openxmlformats.org/officeDocument/2006/relationships/worksheet" Target="/xl/worksheets/sheet3.xml" Id="R04f4545071bf443a" /><Relationship Type="http://schemas.openxmlformats.org/officeDocument/2006/relationships/worksheet" Target="/xl/worksheets/sheet4.xml" Id="Rd8cf23a6cddb4dd5" /><Relationship Type="http://schemas.microsoft.com/office/2017/10/relationships/person" Target="/xl/persons/person.xml" Id="Rcbd1f16d6ec941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38751cc9094c4eda" /><Relationship Type="http://schemas.openxmlformats.org/officeDocument/2006/relationships/chart" Target="/xl/drawings/charts/chart2.xml" Id="Ra7eabca8b86d47ed" /><Relationship Type="http://schemas.openxmlformats.org/officeDocument/2006/relationships/chart" Target="/xl/drawings/charts/chart3.xml" Id="R86f173c799544ec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Chiffre d’affaires encaissé HT</a:t>
            </a:r>
          </a:p>
        </c:rich>
      </c:tx>
      <c:txPr>
        <a:bodyPr xmlns:a="http://schemas.openxmlformats.org/drawingml/2006/main" anchorCtr="1"/>
        <a:lstStyle xmlns:a="http://schemas.openxmlformats.org/drawingml/2006/main"/>
        <a:p xmlns:a="http://schemas.openxmlformats.org/drawingml/2006/main">
          <a:pPr>
            <a:defRPr sz="825"/>
          </a:pPr>
        </a:p>
      </c:txPr>
    </c:title>
    <c:plotArea>
      <c:lineChart>
        <c:grouping val="standard"/>
        <c:ser>
          <c:idx val="0"/>
          <c:order val="0"/>
          <c:tx>
            <c:v>CA encaissé HT</c:v>
          </c:tx>
          <c:spPr>
            <a:solidFill xmlns:a="http://schemas.openxmlformats.org/drawingml/2006/main">
              <a:srgbClr val="315F46"/>
            </a:solidFill>
            <a:ln xmlns:a="http://schemas.openxmlformats.org/drawingml/2006/main">
              <a:solidFill>
                <a:srgbClr val="315F46"/>
              </a:solidFill>
            </a:ln>
          </c:spPr>
          <c:marker>
            <c:symbol val="none"/>
          </c:marker>
          <c:cat>
            <c:strRef>
              <c:f>Levier_Mois</c:f>
              <c:strCache>
                <c:ptCount val="0"/>
              </c:strCache>
            </c:strRef>
          </c:cat>
          <c:val>
            <c:numRef>
              <c:f>Levier_CA</c:f>
              <c:numCache>
                <c:formatCode>#,##0 "€"</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quot;€&quot;"/>
        <c:majorTickMark val="none"/>
        <c:minorTickMark val="none"/>
        <c:crossAx val="48650112"/>
        <c:crossBetween val="between"/>
      </c:valAx>
    </c:plotArea>
    <c:plotVisOnly val="1"/>
    <c:dispBlanksAs val="gap"/>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Résultat estimé</a:t>
            </a:r>
          </a:p>
        </c:rich>
      </c:tx>
      <c:txPr>
        <a:bodyPr xmlns:a="http://schemas.openxmlformats.org/drawingml/2006/main" anchorCtr="1"/>
        <a:lstStyle xmlns:a="http://schemas.openxmlformats.org/drawingml/2006/main"/>
        <a:p xmlns:a="http://schemas.openxmlformats.org/drawingml/2006/main">
          <a:pPr>
            <a:defRPr sz="825"/>
          </a:pPr>
        </a:p>
      </c:txPr>
    </c:title>
    <c:plotArea>
      <c:barChart>
        <c:barDir val="col"/>
        <c:varyColors val="0"/>
        <c:ser>
          <c:idx val="0"/>
          <c:order val="0"/>
          <c:tx>
            <c:v>Résultat estimé</c:v>
          </c:tx>
          <c:spPr>
            <a:solidFill xmlns:a="http://schemas.openxmlformats.org/drawingml/2006/main">
              <a:srgbClr val="315F46"/>
            </a:solidFill>
            <a:ln xmlns:a="http://schemas.openxmlformats.org/drawingml/2006/main">
              <a:solidFill>
                <a:srgbClr val="315F46"/>
              </a:solidFill>
            </a:ln>
          </c:spPr>
          <c:cat>
            <c:strRef>
              <c:f>Levier_Mois</c:f>
              <c:strCache>
                <c:ptCount val="0"/>
              </c:strCache>
            </c:strRef>
          </c:cat>
          <c:val>
            <c:numRef>
              <c:f>Levier_Resultat</c:f>
              <c:numCache>
                <c:formatCode>#,##0 "€"</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quot;€&quot;"/>
        <c:majorTickMark val="none"/>
        <c:minorTickMark val="none"/>
        <c:crossAx val="48650112"/>
        <c:crossBetween val="between"/>
      </c:valAx>
    </c:plotArea>
    <c:plotVisOnly val="1"/>
    <c:dispBlanksAs val="gap"/>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Argent disponible</a:t>
            </a:r>
          </a:p>
        </c:rich>
      </c:tx>
      <c:txPr>
        <a:bodyPr xmlns:a="http://schemas.openxmlformats.org/drawingml/2006/main" anchorCtr="1"/>
        <a:lstStyle xmlns:a="http://schemas.openxmlformats.org/drawingml/2006/main"/>
        <a:p xmlns:a="http://schemas.openxmlformats.org/drawingml/2006/main">
          <a:pPr>
            <a:defRPr sz="825"/>
          </a:pPr>
        </a:p>
      </c:txPr>
    </c:title>
    <c:plotArea>
      <c:lineChart>
        <c:grouping val="standard"/>
        <c:ser>
          <c:idx val="0"/>
          <c:order val="0"/>
          <c:tx>
            <c:v>Argent disponible</c:v>
          </c:tx>
          <c:spPr>
            <a:solidFill xmlns:a="http://schemas.openxmlformats.org/drawingml/2006/main">
              <a:srgbClr val="315F46"/>
            </a:solidFill>
            <a:ln xmlns:a="http://schemas.openxmlformats.org/drawingml/2006/main">
              <a:solidFill>
                <a:srgbClr val="315F46"/>
              </a:solidFill>
            </a:ln>
          </c:spPr>
          <c:marker>
            <c:symbol val="none"/>
          </c:marker>
          <c:cat>
            <c:strRef>
              <c:f>Levier_Mois</c:f>
              <c:strCache>
                <c:ptCount val="0"/>
              </c:strCache>
            </c:strRef>
          </c:cat>
          <c:val>
            <c:numRef>
              <c:f>Levier_ArgentDisponible</c:f>
              <c:numCache>
                <c:formatCode>#,##0 "€"</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quot;€&quot;"/>
        <c:majorTickMark val="none"/>
        <c:minorTickMark val="none"/>
        <c:crossAx val="48650112"/>
        <c:crossBetween val="between"/>
      </c:valAx>
    </c:plotArea>
    <c:plotVisOnly val="1"/>
    <c:dispBlanksAs val="gap"/>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5</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751cc9094c4eda"/>
        </a:graphicData>
      </a:graphic>
    </xdr:graphicFrame>
    <xdr:clientData/>
  </xdr:twoCellAnchor>
  <xdr:twoCellAnchor>
    <xdr:from>
      <xdr:col>5</xdr:col>
      <xdr:colOff>0</xdr:colOff>
      <xdr:row>14</xdr:row>
      <xdr:rowOff>0</xdr:rowOff>
    </xdr:from>
    <xdr:to>
      <xdr:col>10</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eabca8b86d47ed"/>
        </a:graphicData>
      </a:graphic>
    </xdr:graphicFrame>
    <xdr:clientData/>
  </xdr:twoCellAnchor>
  <xdr:twoCellAnchor>
    <xdr:from>
      <xdr:col>10</xdr:col>
      <xdr:colOff>0</xdr:colOff>
      <xdr:row>14</xdr:row>
      <xdr:rowOff>0</xdr:rowOff>
    </xdr:from>
    <xdr:to>
      <xdr:col>14</xdr:col>
      <xdr:colOff>0</xdr:colOff>
      <xdr:row>28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f173c799544ec6"/>
        </a:graphicData>
      </a:graphic>
    </xdr:graphicFrame>
    <xdr:clientData/>
  </xdr:twoCellAnchor>
</xdr:wsDr>
</file>

<file path=xl/persons/person.xml><?xml version="1.0" encoding="utf-8"?>
<xltc:personList xmlns:xltc="http://schemas.microsoft.com/office/spreadsheetml/2018/threadedcomments">
  <xltc:person displayName="Demaa" id="{F7CF5B16-0217-4FE3-B59B-0FC7066B45B7}"/>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a459c1d0c334d46" /></Relationships>
</file>

<file path=xl/worksheets/sheet1.xml><?xml version="1.0" encoding="utf-8"?>
<x:worksheet xmlns:x="http://schemas.openxmlformats.org/spreadsheetml/2006/main">
  <x:sheetViews>
    <x:sheetView showGridLines="0" workbookViewId="0"/>
  </x:sheetViews>
  <x:sheetFormatPr defaultRowHeight="15"/>
  <x:cols>
    <x:col min="1" max="1" width="43.33000183105469" hidden="0" customWidth="1"/>
    <x:col min="2" max="2" width="12.779999732971191" hidden="0" customWidth="1"/>
    <x:col min="3" max="3" width="12.779999732971191" hidden="0" customWidth="1"/>
    <x:col min="4" max="4" width="12.779999732971191" hidden="0" customWidth="1"/>
    <x:col min="5" max="5" width="10" hidden="0" customWidth="1"/>
    <x:col min="6" max="6" width="10" hidden="0" customWidth="1"/>
  </x:cols>
  <x:sheetData>
    <x:row r="1" ht="44" customHeight="1">
      <x:c r="A1" s="6" t="str">
        <x:v>Levier</x:v>
      </x:c>
      <x:c r="B1" s="6" t="str">
        <x:v>Levier</x:v>
      </x:c>
      <x:c r="C1" s="6" t="str">
        <x:v>Levier</x:v>
      </x:c>
      <x:c r="D1" s="6" t="str">
        <x:v>Levier</x:v>
      </x:c>
      <x:c r="E1" s="6" t="str">
        <x:v>Levier</x:v>
      </x:c>
      <x:c r="F1" s="6" t="str">
        <x:v>Levier</x:v>
      </x:c>
    </x:row>
    <x:row r="2">
      <x:c r="A2" s="9" t="str">
        <x:v>TABLEAU DE PILOTAGE OPÉRATIONNEL</x:v>
      </x:c>
      <x:c r="B2" s="9" t="str">
        <x:v>TABLEAU DE PILOTAGE OPÉRATIONNEL</x:v>
      </x:c>
      <x:c r="C2" s="9" t="str">
        <x:v>TABLEAU DE PILOTAGE OPÉRATIONNEL</x:v>
      </x:c>
      <x:c r="D2" s="9" t="str">
        <x:v>TABLEAU DE PILOTAGE OPÉRATIONNEL</x:v>
      </x:c>
      <x:c r="E2" s="9" t="str">
        <x:v>TABLEAU DE PILOTAGE OPÉRATIONNEL</x:v>
      </x:c>
      <x:c r="F2" s="9" t="str">
        <x:v>TABLEAU DE PILOTAGE OPÉRATIONNEL</x:v>
      </x:c>
    </x:row>
    <x:row r="3">
      <x:c r="A3" s="3"/>
      <x:c r="B3" s="3"/>
      <x:c r="C3" s="3"/>
      <x:c r="D3" s="3"/>
      <x:c r="E3" s="3"/>
      <x:c r="F3" s="3"/>
    </x:row>
    <x:row r="4" ht="34" customHeight="1">
      <x:c r="A4" s="3" t="str">
        <x:v>Nom de l’entreprise</x:v>
      </x:c>
      <x:c r="B4" s="12"/>
      <x:c r="C4" s="13"/>
      <x:c r="D4" s="14"/>
      <x:c r="E4" s="3"/>
      <x:c r="F4" s="3"/>
    </x:row>
    <x:row r="5" ht="34" customHeight="1">
      <x:c r="A5" s="3" t="str">
        <x:v>Mois de départ</x:v>
      </x:c>
      <x:c r="B5" s="15" t="str">
        <x:v>août 2026</x:v>
      </x:c>
      <x:c r="C5" s="11"/>
      <x:c r="D5" s="16"/>
      <x:c r="E5" s="3"/>
      <x:c r="F5" s="3"/>
    </x:row>
    <x:row r="6" ht="34" customHeight="1">
      <x:c r="A6" s="3" t="str">
        <x:v>Choisissez l’unité qui correspond le mieux à votre activité</x:v>
      </x:c>
      <x:c r="B6" s="15" t="str">
        <x:v>Ventes</x:v>
      </x:c>
      <x:c r="C6" s="11"/>
      <x:c r="D6" s="16"/>
      <x:c r="E6" s="3"/>
      <x:c r="F6" s="3"/>
    </x:row>
    <x:row r="7" ht="34" customHeight="1">
      <x:c r="A7" s="3" t="str">
        <x:v>Soumis à la TVA</x:v>
      </x:c>
      <x:c r="B7" s="17" t="str">
        <x:v>Oui</x:v>
      </x:c>
      <x:c r="C7" s="18"/>
      <x:c r="D7" s="19"/>
      <x:c r="E7" s="3"/>
      <x:c r="F7" s="3"/>
    </x:row>
    <x:row r="8">
      <x:c r="A8" s="3"/>
      <x:c r="B8" s="3"/>
      <x:c r="C8" s="3"/>
      <x:c r="D8" s="3"/>
      <x:c r="E8" s="3"/>
      <x:c r="F8" s="3"/>
    </x:row>
    <x:row r="9">
      <x:c r="A9" s="3"/>
      <x:c r="B9" s="3"/>
      <x:c r="C9" s="3"/>
      <x:c r="D9" s="3"/>
      <x:c r="E9" s="3"/>
      <x:c r="F9" s="3"/>
    </x:row>
    <x:row r="10">
      <x:c r="A10" s="3"/>
      <x:c r="B10" s="3"/>
      <x:c r="C10" s="3"/>
      <x:c r="D10" s="3"/>
      <x:c r="E10" s="3"/>
      <x:c r="F10" s="3"/>
    </x:row>
    <x:row r="11">
      <x:c r="A11" s="3"/>
      <x:c r="B11" s="3"/>
      <x:c r="C11" s="3"/>
      <x:c r="D11" s="3"/>
      <x:c r="E11" s="3"/>
      <x:c r="F11" s="3"/>
    </x:row>
    <x:row r="12">
      <x:c r="A12" s="3"/>
      <x:c r="B12" s="3"/>
      <x:c r="C12" s="3"/>
      <x:c r="D12" s="3"/>
      <x:c r="E12" s="3"/>
      <x:c r="F12" s="3"/>
    </x:row>
    <x:row r="13">
      <x:c r="A13" s="20" t="str">
        <x:v>ÉTAT DU FICHIER</x:v>
      </x:c>
      <x:c r="B13" s="20" t="str">
        <x:v>ÉTAT DU FICHIER</x:v>
      </x:c>
      <x:c r="C13" s="20" t="str">
        <x:v>ÉTAT DU FICHIER</x:v>
      </x:c>
      <x:c r="D13" s="20" t="str">
        <x:v>ÉTAT DU FICHIER</x:v>
      </x:c>
      <x:c r="E13" s="20" t="str">
        <x:v>ÉTAT DU FICHIER</x:v>
      </x:c>
      <x:c r="F13" s="20" t="str">
        <x:v>ÉTAT DU FICHIER</x:v>
      </x:c>
    </x:row>
    <x:row r="14">
      <x:c r="A14" s="23" t="str">
        <x:v>Statut</x:v>
      </x:c>
      <x:c r="B14" s="24" t="str">
        <x:f>IF(OR(B4="",B5="",B6="",B7=""),"À compléter",IF(OR(AND(B7="Non",COUNTIF('Mise à jour mensuelle'!B13:M13,"&gt;0")&gt;0),COUNTIF('Mise à jour mensuelle'!B21:M21,"À vérifier")&gt;0),"À vérifier","OK"))</x:f>
        <x:v>À compléter</x:v>
      </x:c>
      <x:c r="C14" s="24"/>
      <x:c r="D14" s="25"/>
      <x:c r="E14" s="3"/>
      <x:c r="F14" s="3"/>
    </x:row>
    <x:row r="15">
      <x:c r="A15" s="3"/>
      <x:c r="B15" s="3"/>
      <x:c r="C15" s="3"/>
      <x:c r="D15" s="3"/>
      <x:c r="E15" s="3"/>
      <x:c r="F15" s="3"/>
    </x:row>
    <x:row r="16">
      <x:c r="A16" s="27" t="str">
        <x:v>Levier · Tableau de pilotage opérationnel</x:v>
      </x:c>
      <x:c r="B16" s="27" t="str">
        <x:v>Levier · Tableau de pilotage opérationnel</x:v>
      </x:c>
      <x:c r="C16" s="27" t="str">
        <x:v>Levier · Tableau de pilotage opérationnel</x:v>
      </x:c>
      <x:c r="D16" s="27" t="str">
        <x:v>Levier · Tableau de pilotage opérationnel</x:v>
      </x:c>
      <x:c r="E16" s="27" t="str">
        <x:v>Levier · Tableau de pilotage opérationnel</x:v>
      </x:c>
      <x:c r="F16" s="27" t="str">
        <x:v>Levier · Tableau de pilotage opérationnel</x:v>
      </x:c>
    </x:row>
    <x:row r="17">
      <x:c r="A17" s="3"/>
      <x:c r="B17" s="3"/>
      <x:c r="C17" s="3"/>
      <x:c r="D17" s="3"/>
      <x:c r="E17" s="3"/>
      <x:c r="F17" s="3"/>
    </x:row>
    <x:row r="18">
      <x:c r="A18" s="3"/>
      <x:c r="B18" s="3"/>
      <x:c r="C18" s="3"/>
      <x:c r="D18" s="3"/>
      <x:c r="E18" s="3"/>
      <x:c r="F18" s="3"/>
    </x:row>
  </x:sheetData>
  <x:mergeCells>
    <x:mergeCell ref="A1:F1"/>
    <x:mergeCell ref="A2:F2"/>
    <x:mergeCell ref="B4:D4"/>
    <x:mergeCell ref="B5:D5"/>
    <x:mergeCell ref="B6:D6"/>
    <x:mergeCell ref="B7:D7"/>
    <x:mergeCell ref="A13:F13"/>
    <x:mergeCell ref="B14:D14"/>
    <x:mergeCell ref="A16:F16"/>
  </x:mergeCells>
  <x:conditionalFormatting sqref="B14:D14">
    <x:cfRule type="containsText" dxfId="0" priority="1" operator="containsText" text="OK"/>
    <x:cfRule type="containsText" dxfId="1" priority="2" operator="containsText" text="À "/>
  </x:conditionalFormatting>
  <x:dataValidations count="3">
    <x:dataValidation type="list" sqref="B5">
      <x:formula1>"janv. 2025,févr. 2025,mars 2025,avr. 2025,mai 2025,juin 2025,juil. 2025,août 2025,sept. 2025,oct. 2025,nov. 2025,déc. 2025,janv. 2026,févr. 2026,mars 2026,avr. 2026,mai 2026,juin 2026,juil. 2026,août 2026,sept. 2026,oct. 2026,nov. 2026,déc. 2026,janv. 2027,févr. 2027,mars 2027,avr. 2027,mai 2027,juin 2027,juil. 2027,août 2027,sept. 2027,oct. 2027,nov. 2027,déc. 2027"</x:formula1>
    </x:dataValidation>
    <x:dataValidation type="list" sqref="B6">
      <x:formula1>"Ventes,Commandes,Prestations,Chantiers,Dossiers,Couverts,Heures facturées,Clients"</x:formula1>
    </x:dataValidation>
    <x:dataValidation type="list" sqref="B7">
      <x:formula1>"Oui,Non"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109999656677246" hidden="0" customWidth="1"/>
    <x:col min="2" max="2" width="10.220000267028809" hidden="0" customWidth="1"/>
    <x:col min="3" max="3" width="10.220000267028809" hidden="0" customWidth="1"/>
    <x:col min="4" max="4" width="10.220000267028809" hidden="0" customWidth="1"/>
    <x:col min="5" max="5" width="10.220000267028809" hidden="0" customWidth="1"/>
    <x:col min="6" max="6" width="13.109999656677246" hidden="0" customWidth="1"/>
    <x:col min="7" max="7" width="10.220000267028809" hidden="0" customWidth="1"/>
    <x:col min="8" max="8" width="10.220000267028809" hidden="0" customWidth="1"/>
    <x:col min="9" max="9" width="10.220000267028809" hidden="0" customWidth="1"/>
    <x:col min="10" max="10" width="10.220000267028809" hidden="0" customWidth="1"/>
    <x:col min="11" max="11" width="13.109999656677246" hidden="0" customWidth="1"/>
    <x:col min="12" max="12" width="10.220000267028809" hidden="0" customWidth="1"/>
    <x:col min="13" max="13" width="10.220000267028809" hidden="0" customWidth="1"/>
    <x:col min="14" max="14" width="10.220000267028809" hidden="0" customWidth="1"/>
    <x:col min="16" max="16" width="0.2199999988079071" hidden="0" customWidth="1"/>
    <x:col min="17" max="17" width="0.2199999988079071" hidden="0" customWidth="1"/>
    <x:col min="18" max="18" width="0.2199999988079071" hidden="0" customWidth="1"/>
    <x:col min="19" max="19" width="0.2199999988079071" hidden="0" customWidth="1"/>
    <x:col min="20" max="20" width="0.2199999988079071" hidden="0" customWidth="1"/>
    <x:col min="21" max="21" width="0.2199999988079071" hidden="0" customWidth="1"/>
    <x:col min="22" max="22" width="0.2199999988079071" hidden="0" customWidth="1"/>
    <x:col min="23" max="23" width="0.2199999988079071" hidden="0" customWidth="1"/>
  </x:cols>
  <x:sheetData>
    <x:row r="1" ht="44" customHeight="1">
      <x:c r="A1" s="6" t="str">
        <x:v>Levier · Tableau de bord</x:v>
      </x:c>
      <x:c r="B1" s="6" t="str">
        <x:v>Levier · Tableau de bord</x:v>
      </x:c>
      <x:c r="C1" s="6" t="str">
        <x:v>Levier · Tableau de bord</x:v>
      </x:c>
      <x:c r="D1" s="6" t="str">
        <x:v>Levier · Tableau de bord</x:v>
      </x:c>
      <x:c r="E1" s="6" t="str">
        <x:v>Levier · Tableau de bord</x:v>
      </x:c>
      <x:c r="F1" s="6" t="str">
        <x:v>Levier · Tableau de bord</x:v>
      </x:c>
      <x:c r="G1" s="6" t="str">
        <x:v>Levier · Tableau de bord</x:v>
      </x:c>
      <x:c r="H1" s="6" t="str">
        <x:v>Levier · Tableau de bord</x:v>
      </x:c>
      <x:c r="I1" s="6" t="str">
        <x:v>Levier · Tableau de bord</x:v>
      </x:c>
      <x:c r="J1" s="6" t="str">
        <x:v>Levier · Tableau de bord</x:v>
      </x:c>
      <x:c r="K1" s="6" t="str">
        <x:v>Levier · Tableau de bord</x:v>
      </x:c>
      <x:c r="L1" s="6" t="str">
        <x:v>Levier · Tableau de bord</x:v>
      </x:c>
      <x:c r="M1" s="6" t="str">
        <x:v>Levier · Tableau de bord</x:v>
      </x:c>
      <x:c r="N1" s="6" t="str">
        <x:v>Levier · Tableau de bord</x:v>
      </x:c>
      <x:c r="O1" s="3"/>
      <x:c r="P1" s="50"/>
      <x:c r="Q1" s="50"/>
      <x:c r="R1" s="50"/>
      <x:c r="S1" s="50"/>
      <x:c r="T1" s="50"/>
      <x:c r="U1" s="50"/>
      <x:c r="V1" s="50"/>
      <x:c r="W1" s="50"/>
    </x:row>
    <x:row r="2">
      <x:c r="A2" s="9" t="str">
        <x:v>TABLEAU DE PILOTAGE OPÉRATIONNEL</x:v>
      </x:c>
      <x:c r="B2" s="9" t="str">
        <x:v>TABLEAU DE PILOTAGE OPÉRATIONNEL</x:v>
      </x:c>
      <x:c r="C2" s="9" t="str">
        <x:v>TABLEAU DE PILOTAGE OPÉRATIONNEL</x:v>
      </x:c>
      <x:c r="D2" s="9" t="str">
        <x:v>TABLEAU DE PILOTAGE OPÉRATIONNEL</x:v>
      </x:c>
      <x:c r="E2" s="9" t="str">
        <x:v>TABLEAU DE PILOTAGE OPÉRATIONNEL</x:v>
      </x:c>
      <x:c r="F2" s="9" t="str">
        <x:v>TABLEAU DE PILOTAGE OPÉRATIONNEL</x:v>
      </x:c>
      <x:c r="G2" s="9" t="str">
        <x:v>TABLEAU DE PILOTAGE OPÉRATIONNEL</x:v>
      </x:c>
      <x:c r="H2" s="9" t="str">
        <x:v>TABLEAU DE PILOTAGE OPÉRATIONNEL</x:v>
      </x:c>
      <x:c r="I2" s="9" t="str">
        <x:v>TABLEAU DE PILOTAGE OPÉRATIONNEL</x:v>
      </x:c>
      <x:c r="J2" s="9" t="str">
        <x:v>TABLEAU DE PILOTAGE OPÉRATIONNEL</x:v>
      </x:c>
      <x:c r="K2" s="9" t="str">
        <x:v>TABLEAU DE PILOTAGE OPÉRATIONNEL</x:v>
      </x:c>
      <x:c r="L2" s="9" t="str">
        <x:v>TABLEAU DE PILOTAGE OPÉRATIONNEL</x:v>
      </x:c>
      <x:c r="M2" s="9" t="str">
        <x:v>TABLEAU DE PILOTAGE OPÉRATIONNEL</x:v>
      </x:c>
      <x:c r="N2" s="9" t="str">
        <x:v>TABLEAU DE PILOTAGE OPÉRATIONNEL</x:v>
      </x:c>
      <x:c r="O2" s="3"/>
      <x:c r="P2" s="50"/>
      <x:c r="Q2" s="50"/>
      <x:c r="R2" s="50"/>
      <x:c r="S2" s="50"/>
      <x:c r="T2" s="50"/>
      <x:c r="U2" s="50"/>
      <x:c r="V2" s="50"/>
      <x:c r="W2" s="50"/>
    </x:row>
    <x:row r="3">
      <x:c r="A3" s="64" t="str">
        <x:v>Période affichée</x:v>
      </x:c>
      <x:c r="B3" s="64"/>
      <x:c r="C3" s="64"/>
      <x:c r="D3" s="65" t="str">
        <x:v>Toute la période (12 mois)</x:v>
      </x:c>
      <x:c r="E3" s="66"/>
      <x:c r="F3" s="67"/>
      <x:c r="G3" s="3"/>
      <x:c r="H3" s="3"/>
      <x:c r="I3" s="3"/>
      <x:c r="J3" s="3"/>
      <x:c r="K3" s="3"/>
      <x:c r="L3" s="3"/>
      <x:c r="M3" s="3"/>
      <x:c r="N3" s="3"/>
      <x:c r="O3" s="3"/>
      <x:c r="P3" s="50" t="str">
        <x:v>Mois</x:v>
      </x:c>
      <x:c r="Q3" s="50" t="str">
        <x:v>CA encaissé HT</x:v>
      </x:c>
      <x:c r="R3" s="50"/>
      <x:c r="S3" s="50" t="str">
        <x:v>Mois</x:v>
      </x:c>
      <x:c r="T3" s="50" t="str">
        <x:v>Résultat estimé</x:v>
      </x:c>
      <x:c r="U3" s="50"/>
      <x:c r="V3" s="50" t="str">
        <x:v>Mois</x:v>
      </x:c>
      <x:c r="W3" s="50" t="str">
        <x:v>Argent disponible</x:v>
      </x:c>
    </x:row>
    <x:row r="4">
      <x:c r="A4" s="70" t="str">
        <x:f>"Chiffre d’affaires encaissé HT · "&amp;$D$3</x:f>
        <x:v>Chiffre d’affaires encaissé HT · Toute la période (12 mois)</x:v>
      </x:c>
      <x:c r="B4" s="70" t="str"/>
      <x:c r="C4" s="70" t="str"/>
      <x:c r="D4" s="70" t="str">
        <x:f>"Dépenses · "&amp;$D$3</x:f>
        <x:v>Dépenses · Toute la période (12 mois)</x:v>
      </x:c>
      <x:c r="E4" s="70" t="str"/>
      <x:c r="F4" s="70" t="str"/>
      <x:c r="G4" s="70" t="str">
        <x:f>"Résultat estimé · "&amp;$D$3</x:f>
        <x:v>Résultat estimé · Toute la période (12 mois)</x:v>
      </x:c>
      <x:c r="H4" s="70" t="str"/>
      <x:c r="I4" s="70" t="str"/>
      <x:c r="J4" s="70" t="str">
        <x:f>"Argent disponible · "&amp;$D$3</x:f>
        <x:v>Argent disponible · Toute la période (12 mois)</x:v>
      </x:c>
      <x:c r="K4" s="70" t="str"/>
      <x:c r="L4" s="70" t="str"/>
      <x:c r="M4" s="70" t="str"/>
      <x:c r="N4" s="70" t="str"/>
      <x:c r="O4" s="3"/>
      <x:c r="P4" s="221" t="str">
        <x:f>IF('Mise à jour mensuelle'!B6="","",'Mise à jour mensuelle'!B4)</x:f>
      </x:c>
      <x:c r="Q4" s="50" t="str">
        <x:f>IF('Mise à jour mensuelle'!B6="","",'Mise à jour mensuelle'!B6)</x:f>
      </x:c>
      <x:c r="R4" s="50"/>
      <x:c r="S4" s="221" t="str">
        <x:f>IF('Mise à jour mensuelle'!B6="","",'Mise à jour mensuelle'!B4)</x:f>
      </x:c>
      <x:c r="T4" s="50" t="str">
        <x:f>IF('Mise à jour mensuelle'!B6="","",'Mise à jour mensuelle'!B17)</x:f>
      </x:c>
      <x:c r="U4" s="50"/>
      <x:c r="V4" s="221" t="str">
        <x:f>IF('Mise à jour mensuelle'!B6="","",'Mise à jour mensuelle'!B4)</x:f>
      </x:c>
      <x:c r="W4" s="50" t="str">
        <x:f>IF('Mise à jour mensuelle'!B6="","",'Mise à jour mensuelle'!B20)</x:f>
      </x:c>
    </x:row>
    <x:row r="5">
      <x:c r="A5" s="70" t="str"/>
      <x:c r="B5" s="70" t="str"/>
      <x:c r="C5" s="70" t="str"/>
      <x:c r="D5" s="70" t="str"/>
      <x:c r="E5" s="70" t="str"/>
      <x:c r="F5" s="70" t="str"/>
      <x:c r="G5" s="70" t="str"/>
      <x:c r="H5" s="70" t="str"/>
      <x:c r="I5" s="70" t="str"/>
      <x:c r="J5" s="70" t="str"/>
      <x:c r="K5" s="70" t="str"/>
      <x:c r="L5" s="70" t="str"/>
      <x:c r="M5" s="70" t="str"/>
      <x:c r="N5" s="70" t="str"/>
      <x:c r="O5" s="3"/>
      <x:c r="P5" s="221" t="str">
        <x:f>IF('Mise à jour mensuelle'!C6="","",'Mise à jour mensuelle'!C4)</x:f>
      </x:c>
      <x:c r="Q5" s="50" t="str">
        <x:f>IF('Mise à jour mensuelle'!C6="","",'Mise à jour mensuelle'!C6)</x:f>
      </x:c>
      <x:c r="R5" s="50"/>
      <x:c r="S5" s="221" t="str">
        <x:f>IF('Mise à jour mensuelle'!C6="","",'Mise à jour mensuelle'!C4)</x:f>
      </x:c>
      <x:c r="T5" s="50" t="str">
        <x:f>IF('Mise à jour mensuelle'!C6="","",'Mise à jour mensuelle'!C17)</x:f>
      </x:c>
      <x:c r="U5" s="50"/>
      <x:c r="V5" s="221" t="str">
        <x:f>IF('Mise à jour mensuelle'!C6="","",'Mise à jour mensuelle'!C4)</x:f>
      </x:c>
      <x:c r="W5" s="50" t="str">
        <x:f>IF('Mise à jour mensuelle'!C6="","",'Mise à jour mensuelle'!C20)</x:f>
      </x:c>
    </x:row>
    <x:row r="6">
      <x:c r="A6" s="89" t="n">
        <x:f>IF($D$3="Toute la période (12 mois)",SUM('Mise à jour mensuelle'!B6:M6),IFERROR(IF(INDEX('Mise à jour mensuelle'!$B$6:$M$6,1,MATCH($D$3,'Mise à jour mensuelle'!$B$4:$M$4,0))="","",INDEX('Mise à jour mensuelle'!$B$6:$M$6,1,MATCH($D$3,'Mise à jour mensuelle'!$B$4:$M$4,0))),""))</x:f>
        <x:v>0</x:v>
      </x:c>
      <x:c r="B6" s="90"/>
      <x:c r="C6" s="91"/>
      <x:c r="D6" s="89" t="n">
        <x:f>IF($D$3="Toute la période (12 mois)",SUM('Mise à jour mensuelle'!B16:M16),IFERROR(IF(INDEX('Mise à jour mensuelle'!$B$16:$M$16,1,MATCH($D$3,'Mise à jour mensuelle'!$B$4:$M$4,0))="","",INDEX('Mise à jour mensuelle'!$B$16:$M$16,1,MATCH($D$3,'Mise à jour mensuelle'!$B$4:$M$4,0))),""))</x:f>
        <x:v>0</x:v>
      </x:c>
      <x:c r="E6" s="90"/>
      <x:c r="F6" s="91"/>
      <x:c r="G6" s="89" t="n">
        <x:f>IF($D$3="Toute la période (12 mois)",SUM('Mise à jour mensuelle'!B17:M17),IFERROR(IF(INDEX('Mise à jour mensuelle'!$B$17:$M$17,1,MATCH($D$3,'Mise à jour mensuelle'!$B$4:$M$4,0))="","",INDEX('Mise à jour mensuelle'!$B$17:$M$17,1,MATCH($D$3,'Mise à jour mensuelle'!$B$4:$M$4,0))),""))</x:f>
        <x:v>0</x:v>
      </x:c>
      <x:c r="H6" s="90"/>
      <x:c r="I6" s="91"/>
      <x:c r="J6" s="89" t="str">
        <x:f>IF($D$3="Toute la période (12 mois)",IF('Mise à jour mensuelle'!M20&lt;&gt;"",'Mise à jour mensuelle'!M20,IF('Mise à jour mensuelle'!L20&lt;&gt;"",'Mise à jour mensuelle'!L20,IF('Mise à jour mensuelle'!K20&lt;&gt;"",'Mise à jour mensuelle'!K20,IF('Mise à jour mensuelle'!J20&lt;&gt;"",'Mise à jour mensuelle'!J20,IF('Mise à jour mensuelle'!I20&lt;&gt;"",'Mise à jour mensuelle'!I20,IF('Mise à jour mensuelle'!H20&lt;&gt;"",'Mise à jour mensuelle'!H20,IF('Mise à jour mensuelle'!G20&lt;&gt;"",'Mise à jour mensuelle'!G20,IF('Mise à jour mensuelle'!F20&lt;&gt;"",'Mise à jour mensuelle'!F20,IF('Mise à jour mensuelle'!E20&lt;&gt;"",'Mise à jour mensuelle'!E20,IF('Mise à jour mensuelle'!D20&lt;&gt;"",'Mise à jour mensuelle'!D20,IF('Mise à jour mensuelle'!C20&lt;&gt;"",'Mise à jour mensuelle'!C20,IF('Mise à jour mensuelle'!B20&lt;&gt;"",'Mise à jour mensuelle'!B20,"")))))))))))),IFERROR(IF(INDEX('Mise à jour mensuelle'!$B$20:$M$20,1,MATCH($D$3,'Mise à jour mensuelle'!$B$4:$M$4,0))="","",INDEX('Mise à jour mensuelle'!$B$20:$M$20,1,MATCH($D$3,'Mise à jour mensuelle'!$B$4:$M$4,0))),""))</x:f>
      </x:c>
      <x:c r="K6" s="90"/>
      <x:c r="L6" s="90"/>
      <x:c r="M6" s="90"/>
      <x:c r="N6" s="91"/>
      <x:c r="O6" s="3"/>
      <x:c r="P6" s="221" t="str">
        <x:f>IF('Mise à jour mensuelle'!D6="","",'Mise à jour mensuelle'!D4)</x:f>
      </x:c>
      <x:c r="Q6" s="50" t="str">
        <x:f>IF('Mise à jour mensuelle'!D6="","",'Mise à jour mensuelle'!D6)</x:f>
      </x:c>
      <x:c r="R6" s="50"/>
      <x:c r="S6" s="221" t="str">
        <x:f>IF('Mise à jour mensuelle'!D6="","",'Mise à jour mensuelle'!D4)</x:f>
      </x:c>
      <x:c r="T6" s="50" t="str">
        <x:f>IF('Mise à jour mensuelle'!D6="","",'Mise à jour mensuelle'!D17)</x:f>
      </x:c>
      <x:c r="U6" s="50"/>
      <x:c r="V6" s="221" t="str">
        <x:f>IF('Mise à jour mensuelle'!D6="","",'Mise à jour mensuelle'!D4)</x:f>
      </x:c>
      <x:c r="W6" s="50" t="str">
        <x:f>IF('Mise à jour mensuelle'!D6="","",'Mise à jour mensuelle'!D20)</x:f>
      </x:c>
    </x:row>
    <x:row r="7">
      <x:c r="A7" s="92"/>
      <x:c r="B7" s="93"/>
      <x:c r="C7" s="94"/>
      <x:c r="D7" s="92"/>
      <x:c r="E7" s="93"/>
      <x:c r="F7" s="94"/>
      <x:c r="G7" s="92"/>
      <x:c r="H7" s="93"/>
      <x:c r="I7" s="94"/>
      <x:c r="J7" s="92"/>
      <x:c r="K7" s="93"/>
      <x:c r="L7" s="93"/>
      <x:c r="M7" s="93"/>
      <x:c r="N7" s="94"/>
      <x:c r="O7" s="3"/>
      <x:c r="P7" s="221" t="str">
        <x:f>IF('Mise à jour mensuelle'!E6="","",'Mise à jour mensuelle'!E4)</x:f>
      </x:c>
      <x:c r="Q7" s="50" t="str">
        <x:f>IF('Mise à jour mensuelle'!E6="","",'Mise à jour mensuelle'!E6)</x:f>
      </x:c>
      <x:c r="R7" s="50"/>
      <x:c r="S7" s="221" t="str">
        <x:f>IF('Mise à jour mensuelle'!E6="","",'Mise à jour mensuelle'!E4)</x:f>
      </x:c>
      <x:c r="T7" s="50" t="str">
        <x:f>IF('Mise à jour mensuelle'!E6="","",'Mise à jour mensuelle'!E17)</x:f>
      </x:c>
      <x:c r="U7" s="50"/>
      <x:c r="V7" s="221" t="str">
        <x:f>IF('Mise à jour mensuelle'!E6="","",'Mise à jour mensuelle'!E4)</x:f>
      </x:c>
      <x:c r="W7" s="50" t="str">
        <x:f>IF('Mise à jour mensuelle'!E6="","",'Mise à jour mensuelle'!E20)</x:f>
      </x:c>
    </x:row>
    <x:row r="8">
      <x:c r="A8" s="95"/>
      <x:c r="B8" s="96"/>
      <x:c r="C8" s="97"/>
      <x:c r="D8" s="95"/>
      <x:c r="E8" s="96"/>
      <x:c r="F8" s="97"/>
      <x:c r="G8" s="95"/>
      <x:c r="H8" s="96"/>
      <x:c r="I8" s="97"/>
      <x:c r="J8" s="95"/>
      <x:c r="K8" s="96"/>
      <x:c r="L8" s="96"/>
      <x:c r="M8" s="96"/>
      <x:c r="N8" s="97"/>
      <x:c r="O8" s="3"/>
      <x:c r="P8" s="221" t="str">
        <x:f>IF('Mise à jour mensuelle'!F6="","",'Mise à jour mensuelle'!F4)</x:f>
      </x:c>
      <x:c r="Q8" s="50" t="str">
        <x:f>IF('Mise à jour mensuelle'!F6="","",'Mise à jour mensuelle'!F6)</x:f>
      </x:c>
      <x:c r="R8" s="50"/>
      <x:c r="S8" s="221" t="str">
        <x:f>IF('Mise à jour mensuelle'!F6="","",'Mise à jour mensuelle'!F4)</x:f>
      </x:c>
      <x:c r="T8" s="50" t="str">
        <x:f>IF('Mise à jour mensuelle'!F6="","",'Mise à jour mensuelle'!F17)</x:f>
      </x:c>
      <x:c r="U8" s="50"/>
      <x:c r="V8" s="221" t="str">
        <x:f>IF('Mise à jour mensuelle'!F6="","",'Mise à jour mensuelle'!F4)</x:f>
      </x:c>
      <x:c r="W8" s="50" t="str">
        <x:f>IF('Mise à jour mensuelle'!F6="","",'Mise à jour mensuelle'!F20)</x:f>
      </x:c>
    </x:row>
    <x:row r="9">
      <x:c r="A9" s="3"/>
      <x:c r="B9" s="3"/>
      <x:c r="C9" s="3"/>
      <x:c r="D9" s="3"/>
      <x:c r="E9" s="3"/>
      <x:c r="F9" s="3"/>
      <x:c r="G9" s="3"/>
      <x:c r="H9" s="3"/>
      <x:c r="I9" s="3"/>
      <x:c r="J9" s="3"/>
      <x:c r="K9" s="3"/>
      <x:c r="L9" s="3"/>
      <x:c r="M9" s="3"/>
      <x:c r="N9" s="3"/>
      <x:c r="O9" s="3"/>
      <x:c r="P9" s="221" t="str">
        <x:f>IF('Mise à jour mensuelle'!G6="","",'Mise à jour mensuelle'!G4)</x:f>
      </x:c>
      <x:c r="Q9" s="50" t="str">
        <x:f>IF('Mise à jour mensuelle'!G6="","",'Mise à jour mensuelle'!G6)</x:f>
      </x:c>
      <x:c r="R9" s="50"/>
      <x:c r="S9" s="221" t="str">
        <x:f>IF('Mise à jour mensuelle'!G6="","",'Mise à jour mensuelle'!G4)</x:f>
      </x:c>
      <x:c r="T9" s="50" t="str">
        <x:f>IF('Mise à jour mensuelle'!G6="","",'Mise à jour mensuelle'!G17)</x:f>
      </x:c>
      <x:c r="U9" s="50"/>
      <x:c r="V9" s="221" t="str">
        <x:f>IF('Mise à jour mensuelle'!G6="","",'Mise à jour mensuelle'!G4)</x:f>
      </x:c>
      <x:c r="W9" s="50" t="str">
        <x:f>IF('Mise à jour mensuelle'!G6="","",'Mise à jour mensuelle'!G20)</x:f>
      </x:c>
    </x:row>
    <x:row r="10">
      <x:c r="A10" s="70" t="str">
        <x:f>IF('Démarrage'!B6="Ventes","Nombre de ventes",IF('Démarrage'!B6="Commandes","Nombre de commandes",IF('Démarrage'!B6="Prestations","Nombre de prestations",IF('Démarrage'!B6="Chantiers","Nombre de chantiers",IF('Démarrage'!B6="Dossiers","Nombre de dossiers",IF('Démarrage'!B6="Couverts","Nombre de couverts",IF('Démarrage'!B6="Heures facturées","Heures facturées",IF('Démarrage'!B6="Clients","Nombre de clients",""))))))))&amp;" · "&amp;$D$3</x:f>
        <x:v>Nombre de ventes · Toute la période (12 mois)</x:v>
      </x:c>
      <x:c r="B10" s="70"/>
      <x:c r="C10" s="70"/>
      <x:c r="D10" s="70"/>
      <x:c r="E10" s="70" t="str">
        <x:f>IF('Démarrage'!B6="Ventes","CA moyen par vente",IF('Démarrage'!B6="Commandes","CA moyen par commande",IF('Démarrage'!B6="Prestations","CA moyen par prestation",IF('Démarrage'!B6="Chantiers","CA moyen par chantier",IF('Démarrage'!B6="Dossiers","CA moyen par dossier",IF('Démarrage'!B6="Couverts","CA moyen par couvert",IF('Démarrage'!B6="Heures facturées","CA moyen par heure facturée",IF('Démarrage'!B6="Clients","CA moyen par client",""))))))))&amp;" · "&amp;$D$3</x:f>
        <x:v>CA moyen par vente · Toute la période (12 mois)</x:v>
      </x:c>
      <x:c r="F10" s="70"/>
      <x:c r="G10" s="70"/>
      <x:c r="H10" s="70"/>
      <x:c r="I10" s="70" t="str">
        <x:f>"Marge · "&amp;$D$3</x:f>
        <x:v>Marge · Toute la période (12 mois)</x:v>
      </x:c>
      <x:c r="J10" s="70"/>
      <x:c r="K10" s="70"/>
      <x:c r="L10" s="70"/>
      <x:c r="M10" s="70" t="str">
        <x:f>IF($D$3="Toute la période (12 mois)","État du fichier","État · "&amp;$D$3)</x:f>
        <x:v>État du fichier</x:v>
      </x:c>
      <x:c r="N10" s="70"/>
      <x:c r="O10" s="3"/>
      <x:c r="P10" s="221" t="str">
        <x:f>IF('Mise à jour mensuelle'!H6="","",'Mise à jour mensuelle'!H4)</x:f>
      </x:c>
      <x:c r="Q10" s="50" t="str">
        <x:f>IF('Mise à jour mensuelle'!H6="","",'Mise à jour mensuelle'!H6)</x:f>
      </x:c>
      <x:c r="R10" s="50"/>
      <x:c r="S10" s="221" t="str">
        <x:f>IF('Mise à jour mensuelle'!H6="","",'Mise à jour mensuelle'!H4)</x:f>
      </x:c>
      <x:c r="T10" s="50" t="str">
        <x:f>IF('Mise à jour mensuelle'!H6="","",'Mise à jour mensuelle'!H17)</x:f>
      </x:c>
      <x:c r="U10" s="50"/>
      <x:c r="V10" s="221" t="str">
        <x:f>IF('Mise à jour mensuelle'!H6="","",'Mise à jour mensuelle'!H4)</x:f>
      </x:c>
      <x:c r="W10" s="50" t="str">
        <x:f>IF('Mise à jour mensuelle'!H6="","",'Mise à jour mensuelle'!H20)</x:f>
      </x:c>
    </x:row>
    <x:row r="11">
      <x:c r="A11" s="116" t="n">
        <x:f>IF($D$3="Toute la période (12 mois)",SUM('Mise à jour mensuelle'!B12:M12),IFERROR(IF(INDEX('Mise à jour mensuelle'!$B$12:$M$12,1,MATCH($D$3,'Mise à jour mensuelle'!$B$4:$M$4,0))="","",INDEX('Mise à jour mensuelle'!$B$12:$M$12,1,MATCH($D$3,'Mise à jour mensuelle'!$B$4:$M$4,0))),""))</x:f>
        <x:v>0</x:v>
      </x:c>
      <x:c r="B11" s="117"/>
      <x:c r="C11" s="117"/>
      <x:c r="D11" s="118"/>
      <x:c r="E11" s="134" t="str">
        <x:f>IF($D$3="Toute la période (12 mois)",IF(SUM('Mise à jour mensuelle'!B12:M12)=0,"",SUM('Mise à jour mensuelle'!B6:M6)/SUM('Mise à jour mensuelle'!B12:M12)),IFERROR(IF(INDEX('Mise à jour mensuelle'!$B$12:$M$12,1,MATCH($D$3,'Mise à jour mensuelle'!$B$4:$M$4,0))="","",INDEX('Mise à jour mensuelle'!$B$6:$M$6,1,MATCH($D$3,'Mise à jour mensuelle'!$B$4:$M$4,0))/INDEX('Mise à jour mensuelle'!$B$12:$M$12,1,MATCH($D$3,'Mise à jour mensuelle'!$B$4:$M$4,0))),""))</x:f>
      </x:c>
      <x:c r="F11" s="135"/>
      <x:c r="G11" s="135"/>
      <x:c r="H11" s="136"/>
      <x:c r="I11" s="152" t="str">
        <x:f>IF($D$3="Toute la période (12 mois)",IF(SUM('Mise à jour mensuelle'!B6:M6)=0,"",SUM('Mise à jour mensuelle'!B17:M17)/SUM('Mise à jour mensuelle'!B6:M6)),IFERROR(IF(INDEX('Mise à jour mensuelle'!$B$6:$M$6,1,MATCH($D$3,'Mise à jour mensuelle'!$B$4:$M$4,0))="","",INDEX('Mise à jour mensuelle'!$B$17:$M$17,1,MATCH($D$3,'Mise à jour mensuelle'!$B$4:$M$4,0))/INDEX('Mise à jour mensuelle'!$B$6:$M$6,1,MATCH($D$3,'Mise à jour mensuelle'!$B$4:$M$4,0))),""))</x:f>
      </x:c>
      <x:c r="J11" s="153"/>
      <x:c r="K11" s="153"/>
      <x:c r="L11" s="154"/>
      <x:c r="M11" s="168" t="str">
        <x:f>IF($D$3="Toute la période (12 mois)",'Démarrage'!B14,IF(IFERROR(INDEX('Mise à jour mensuelle'!$B$6:$M$6,1,MATCH($D$3,'Mise à jour mensuelle'!$B$4:$M$4,0)),"")="","À renseigner",'Démarrage'!B14))</x:f>
        <x:v>À compléter</x:v>
      </x:c>
      <x:c r="N11" s="169"/>
      <x:c r="O11" s="3"/>
      <x:c r="P11" s="221" t="str">
        <x:f>IF('Mise à jour mensuelle'!I6="","",'Mise à jour mensuelle'!I4)</x:f>
      </x:c>
      <x:c r="Q11" s="50" t="str">
        <x:f>IF('Mise à jour mensuelle'!I6="","",'Mise à jour mensuelle'!I6)</x:f>
      </x:c>
      <x:c r="R11" s="50"/>
      <x:c r="S11" s="221" t="str">
        <x:f>IF('Mise à jour mensuelle'!I6="","",'Mise à jour mensuelle'!I4)</x:f>
      </x:c>
      <x:c r="T11" s="50" t="str">
        <x:f>IF('Mise à jour mensuelle'!I6="","",'Mise à jour mensuelle'!I17)</x:f>
      </x:c>
      <x:c r="U11" s="50"/>
      <x:c r="V11" s="221" t="str">
        <x:f>IF('Mise à jour mensuelle'!I6="","",'Mise à jour mensuelle'!I4)</x:f>
      </x:c>
      <x:c r="W11" s="50" t="str">
        <x:f>IF('Mise à jour mensuelle'!I6="","",'Mise à jour mensuelle'!I20)</x:f>
      </x:c>
    </x:row>
    <x:row r="12">
      <x:c r="A12" s="119"/>
      <x:c r="B12" s="120"/>
      <x:c r="C12" s="120"/>
      <x:c r="D12" s="121"/>
      <x:c r="E12" s="137"/>
      <x:c r="F12" s="138"/>
      <x:c r="G12" s="138"/>
      <x:c r="H12" s="139"/>
      <x:c r="I12" s="155"/>
      <x:c r="J12" s="156"/>
      <x:c r="K12" s="156"/>
      <x:c r="L12" s="157"/>
      <x:c r="M12" s="170"/>
      <x:c r="N12" s="171"/>
      <x:c r="O12" s="3"/>
      <x:c r="P12" s="221" t="str">
        <x:f>IF('Mise à jour mensuelle'!J6="","",'Mise à jour mensuelle'!J4)</x:f>
      </x:c>
      <x:c r="Q12" s="50" t="str">
        <x:f>IF('Mise à jour mensuelle'!J6="","",'Mise à jour mensuelle'!J6)</x:f>
      </x:c>
      <x:c r="R12" s="50"/>
      <x:c r="S12" s="221" t="str">
        <x:f>IF('Mise à jour mensuelle'!J6="","",'Mise à jour mensuelle'!J4)</x:f>
      </x:c>
      <x:c r="T12" s="50" t="str">
        <x:f>IF('Mise à jour mensuelle'!J6="","",'Mise à jour mensuelle'!J17)</x:f>
      </x:c>
      <x:c r="U12" s="50"/>
      <x:c r="V12" s="221" t="str">
        <x:f>IF('Mise à jour mensuelle'!J6="","",'Mise à jour mensuelle'!J4)</x:f>
      </x:c>
      <x:c r="W12" s="50" t="str">
        <x:f>IF('Mise à jour mensuelle'!J6="","",'Mise à jour mensuelle'!J20)</x:f>
      </x:c>
    </x:row>
    <x:row r="13">
      <x:c r="A13" s="122"/>
      <x:c r="B13" s="123"/>
      <x:c r="C13" s="123"/>
      <x:c r="D13" s="124"/>
      <x:c r="E13" s="140"/>
      <x:c r="F13" s="141"/>
      <x:c r="G13" s="141"/>
      <x:c r="H13" s="142"/>
      <x:c r="I13" s="158"/>
      <x:c r="J13" s="159"/>
      <x:c r="K13" s="159"/>
      <x:c r="L13" s="160"/>
      <x:c r="M13" s="172"/>
      <x:c r="N13" s="173"/>
      <x:c r="O13" s="3"/>
      <x:c r="P13" s="221" t="str">
        <x:f>IF('Mise à jour mensuelle'!K6="","",'Mise à jour mensuelle'!K4)</x:f>
      </x:c>
      <x:c r="Q13" s="50" t="str">
        <x:f>IF('Mise à jour mensuelle'!K6="","",'Mise à jour mensuelle'!K6)</x:f>
      </x:c>
      <x:c r="R13" s="50"/>
      <x:c r="S13" s="221" t="str">
        <x:f>IF('Mise à jour mensuelle'!K6="","",'Mise à jour mensuelle'!K4)</x:f>
      </x:c>
      <x:c r="T13" s="50" t="str">
        <x:f>IF('Mise à jour mensuelle'!K6="","",'Mise à jour mensuelle'!K17)</x:f>
      </x:c>
      <x:c r="U13" s="50"/>
      <x:c r="V13" s="221" t="str">
        <x:f>IF('Mise à jour mensuelle'!K6="","",'Mise à jour mensuelle'!K4)</x:f>
      </x:c>
      <x:c r="W13" s="50" t="str">
        <x:f>IF('Mise à jour mensuelle'!K6="","",'Mise à jour mensuelle'!K20)</x:f>
      </x:c>
    </x:row>
    <x:row r="14">
      <x:c r="A14" s="3"/>
      <x:c r="B14" s="3"/>
      <x:c r="C14" s="3"/>
      <x:c r="D14" s="3"/>
      <x:c r="E14" s="3"/>
      <x:c r="F14" s="3"/>
      <x:c r="G14" s="3"/>
      <x:c r="H14" s="3"/>
      <x:c r="I14" s="3"/>
      <x:c r="J14" s="3"/>
      <x:c r="K14" s="3"/>
      <x:c r="L14" s="3"/>
      <x:c r="M14" s="3"/>
      <x:c r="N14" s="3"/>
      <x:c r="O14" s="3"/>
      <x:c r="P14" s="221" t="str">
        <x:f>IF('Mise à jour mensuelle'!L6="","",'Mise à jour mensuelle'!L4)</x:f>
      </x:c>
      <x:c r="Q14" s="50" t="str">
        <x:f>IF('Mise à jour mensuelle'!L6="","",'Mise à jour mensuelle'!L6)</x:f>
      </x:c>
      <x:c r="R14" s="50"/>
      <x:c r="S14" s="221" t="str">
        <x:f>IF('Mise à jour mensuelle'!L6="","",'Mise à jour mensuelle'!L4)</x:f>
      </x:c>
      <x:c r="T14" s="50" t="str">
        <x:f>IF('Mise à jour mensuelle'!L6="","",'Mise à jour mensuelle'!L17)</x:f>
      </x:c>
      <x:c r="U14" s="50"/>
      <x:c r="V14" s="221" t="str">
        <x:f>IF('Mise à jour mensuelle'!L6="","",'Mise à jour mensuelle'!L4)</x:f>
      </x:c>
      <x:c r="W14" s="50" t="str">
        <x:f>IF('Mise à jour mensuelle'!L6="","",'Mise à jour mensuelle'!L20)</x:f>
      </x:c>
    </x:row>
    <x:row r="15">
      <x:c r="A15" s="3"/>
      <x:c r="B15" s="3"/>
      <x:c r="C15" s="3"/>
      <x:c r="D15" s="3"/>
      <x:c r="E15" s="3"/>
      <x:c r="F15" s="3"/>
      <x:c r="G15" s="3"/>
      <x:c r="H15" s="3"/>
      <x:c r="I15" s="3"/>
      <x:c r="J15" s="3"/>
      <x:c r="K15" s="3"/>
      <x:c r="L15" s="3"/>
      <x:c r="M15" s="3"/>
      <x:c r="N15" s="3"/>
      <x:c r="O15" s="3"/>
      <x:c r="P15" s="221" t="str">
        <x:f>IF('Mise à jour mensuelle'!M6="","",'Mise à jour mensuelle'!M4)</x:f>
      </x:c>
      <x:c r="Q15" s="50" t="str">
        <x:f>IF('Mise à jour mensuelle'!M6="","",'Mise à jour mensuelle'!M6)</x:f>
      </x:c>
      <x:c r="R15" s="50"/>
      <x:c r="S15" s="221" t="str">
        <x:f>IF('Mise à jour mensuelle'!M6="","",'Mise à jour mensuelle'!M4)</x:f>
      </x:c>
      <x:c r="T15" s="50" t="str">
        <x:f>IF('Mise à jour mensuelle'!M6="","",'Mise à jour mensuelle'!M17)</x:f>
      </x:c>
      <x:c r="U15" s="50"/>
      <x:c r="V15" s="221" t="str">
        <x:f>IF('Mise à jour mensuelle'!M6="","",'Mise à jour mensuelle'!M4)</x:f>
      </x:c>
      <x:c r="W15" s="50" t="str">
        <x:f>IF('Mise à jour mensuelle'!M6="","",'Mise à jour mensuelle'!M20)</x:f>
      </x:c>
    </x:row>
    <x:row r="16">
      <x:c r="A16" s="3"/>
      <x:c r="B16" s="3"/>
      <x:c r="C16" s="3"/>
      <x:c r="D16" s="3"/>
      <x:c r="E16" s="3"/>
      <x:c r="F16" s="3"/>
      <x:c r="G16" s="3"/>
      <x:c r="H16" s="3"/>
      <x:c r="I16" s="3"/>
      <x:c r="J16" s="3"/>
      <x:c r="K16" s="3"/>
      <x:c r="L16" s="3"/>
      <x:c r="M16" s="3"/>
      <x:c r="N16" s="3"/>
      <x:c r="O16" s="3"/>
      <x:c r="P16" s="50"/>
      <x:c r="Q16" s="50"/>
      <x:c r="R16" s="50"/>
      <x:c r="S16" s="50"/>
      <x:c r="T16" s="50"/>
      <x:c r="U16" s="50"/>
      <x:c r="V16" s="50"/>
      <x:c r="W16" s="50"/>
    </x:row>
    <x:row r="17">
      <x:c r="A17" s="3"/>
      <x:c r="B17" s="3"/>
      <x:c r="C17" s="3"/>
      <x:c r="D17" s="3"/>
      <x:c r="E17" s="3"/>
      <x:c r="F17" s="3"/>
      <x:c r="G17" s="3"/>
      <x:c r="H17" s="3"/>
      <x:c r="I17" s="3"/>
      <x:c r="J17" s="3"/>
      <x:c r="K17" s="3"/>
      <x:c r="L17" s="3"/>
      <x:c r="M17" s="3"/>
      <x:c r="N17" s="3"/>
      <x:c r="O17" s="3"/>
      <x:c r="P17" s="50"/>
      <x:c r="Q17" s="50"/>
      <x:c r="R17" s="50"/>
      <x:c r="S17" s="50"/>
      <x:c r="T17" s="50"/>
      <x:c r="U17" s="50"/>
      <x:c r="V17" s="50"/>
      <x:c r="W17" s="50"/>
    </x:row>
    <x:row r="18">
      <x:c r="A18" s="3"/>
      <x:c r="B18" s="3"/>
      <x:c r="C18" s="3"/>
      <x:c r="D18" s="3"/>
      <x:c r="E18" s="3"/>
      <x:c r="F18" s="3"/>
      <x:c r="G18" s="3"/>
      <x:c r="H18" s="3"/>
      <x:c r="I18" s="3"/>
      <x:c r="J18" s="3"/>
      <x:c r="K18" s="3"/>
      <x:c r="L18" s="3"/>
      <x:c r="M18" s="3"/>
      <x:c r="N18" s="3"/>
      <x:c r="O18" s="3"/>
      <x:c r="P18" s="50" t="str">
        <x:v>Toute la période (12 mois)</x:v>
      </x:c>
      <x:c r="Q18" s="50"/>
      <x:c r="R18" s="50"/>
      <x:c r="S18" s="50"/>
      <x:c r="T18" s="50"/>
      <x:c r="U18" s="50"/>
      <x:c r="V18" s="50"/>
      <x:c r="W18" s="50"/>
    </x:row>
    <x:row r="19">
      <x:c r="A19" s="3"/>
      <x:c r="B19" s="3"/>
      <x:c r="C19" s="3"/>
      <x:c r="D19" s="3"/>
      <x:c r="E19" s="3"/>
      <x:c r="F19" s="3"/>
      <x:c r="G19" s="3"/>
      <x:c r="H19" s="3"/>
      <x:c r="I19" s="3"/>
      <x:c r="J19" s="3"/>
      <x:c r="K19" s="3"/>
      <x:c r="L19" s="3"/>
      <x:c r="M19" s="3"/>
      <x:c r="N19" s="3"/>
      <x:c r="O19" s="3"/>
      <x:c r="P19" s="50" t="str">
        <x:f>'Mise à jour mensuelle'!B4</x:f>
        <x:v>août 2026</x:v>
      </x:c>
      <x:c r="Q19" s="50"/>
      <x:c r="R19" s="50"/>
      <x:c r="S19" s="50"/>
      <x:c r="T19" s="50"/>
      <x:c r="U19" s="50"/>
      <x:c r="V19" s="50"/>
      <x:c r="W19" s="50"/>
    </x:row>
    <x:row r="20">
      <x:c r="A20" s="3"/>
      <x:c r="B20" s="3"/>
      <x:c r="C20" s="3"/>
      <x:c r="D20" s="3"/>
      <x:c r="E20" s="3"/>
      <x:c r="F20" s="3"/>
      <x:c r="G20" s="3"/>
      <x:c r="H20" s="3"/>
      <x:c r="I20" s="3"/>
      <x:c r="J20" s="3"/>
      <x:c r="K20" s="3"/>
      <x:c r="L20" s="3"/>
      <x:c r="M20" s="3"/>
      <x:c r="N20" s="3"/>
      <x:c r="O20" s="3"/>
      <x:c r="P20" s="50" t="str">
        <x:f>'Mise à jour mensuelle'!C4</x:f>
        <x:v>sept. 2026</x:v>
      </x:c>
      <x:c r="Q20" s="50"/>
      <x:c r="R20" s="50"/>
      <x:c r="S20" s="50"/>
      <x:c r="T20" s="50"/>
      <x:c r="U20" s="50"/>
      <x:c r="V20" s="50"/>
      <x:c r="W20" s="50"/>
    </x:row>
    <x:row r="21">
      <x:c r="A21" s="3"/>
      <x:c r="B21" s="3"/>
      <x:c r="C21" s="3"/>
      <x:c r="D21" s="3"/>
      <x:c r="E21" s="3"/>
      <x:c r="F21" s="3"/>
      <x:c r="G21" s="3"/>
      <x:c r="H21" s="3"/>
      <x:c r="I21" s="3"/>
      <x:c r="J21" s="3"/>
      <x:c r="K21" s="3"/>
      <x:c r="L21" s="3"/>
      <x:c r="M21" s="3"/>
      <x:c r="N21" s="3"/>
      <x:c r="O21" s="3"/>
      <x:c r="P21" s="50" t="str">
        <x:f>'Mise à jour mensuelle'!D4</x:f>
        <x:v>oct. 2026</x:v>
      </x:c>
      <x:c r="Q21" s="50"/>
      <x:c r="R21" s="50"/>
      <x:c r="S21" s="50"/>
      <x:c r="T21" s="50"/>
      <x:c r="U21" s="50"/>
      <x:c r="V21" s="50"/>
      <x:c r="W21" s="50"/>
    </x:row>
    <x:row r="22">
      <x:c r="A22" s="3"/>
      <x:c r="B22" s="3"/>
      <x:c r="C22" s="3"/>
      <x:c r="D22" s="3"/>
      <x:c r="E22" s="3"/>
      <x:c r="F22" s="3"/>
      <x:c r="G22" s="3"/>
      <x:c r="H22" s="3"/>
      <x:c r="I22" s="3"/>
      <x:c r="J22" s="3"/>
      <x:c r="K22" s="3"/>
      <x:c r="L22" s="3"/>
      <x:c r="M22" s="3"/>
      <x:c r="N22" s="3"/>
      <x:c r="O22" s="3"/>
      <x:c r="P22" s="50" t="str">
        <x:f>'Mise à jour mensuelle'!E4</x:f>
        <x:v>nov. 2026</x:v>
      </x:c>
      <x:c r="Q22" s="50"/>
      <x:c r="R22" s="50"/>
      <x:c r="S22" s="50"/>
      <x:c r="T22" s="50"/>
      <x:c r="U22" s="50"/>
      <x:c r="V22" s="50"/>
      <x:c r="W22" s="50"/>
    </x:row>
    <x:row r="23">
      <x:c r="A23" s="3"/>
      <x:c r="B23" s="3"/>
      <x:c r="C23" s="3"/>
      <x:c r="D23" s="3"/>
      <x:c r="E23" s="3"/>
      <x:c r="F23" s="3"/>
      <x:c r="G23" s="3"/>
      <x:c r="H23" s="3"/>
      <x:c r="I23" s="3"/>
      <x:c r="J23" s="3"/>
      <x:c r="K23" s="3"/>
      <x:c r="L23" s="3"/>
      <x:c r="M23" s="3"/>
      <x:c r="N23" s="3"/>
      <x:c r="O23" s="3"/>
      <x:c r="P23" s="50" t="str">
        <x:f>'Mise à jour mensuelle'!F4</x:f>
        <x:v>déc. 2026</x:v>
      </x:c>
      <x:c r="Q23" s="50"/>
      <x:c r="R23" s="50"/>
      <x:c r="S23" s="50"/>
      <x:c r="T23" s="50"/>
      <x:c r="U23" s="50"/>
      <x:c r="V23" s="50"/>
      <x:c r="W23" s="50"/>
    </x:row>
    <x:row r="24">
      <x:c r="A24" s="3"/>
      <x:c r="B24" s="3"/>
      <x:c r="C24" s="3"/>
      <x:c r="D24" s="3"/>
      <x:c r="E24" s="3"/>
      <x:c r="F24" s="3"/>
      <x:c r="G24" s="3"/>
      <x:c r="H24" s="3"/>
      <x:c r="I24" s="3"/>
      <x:c r="J24" s="3"/>
      <x:c r="K24" s="3"/>
      <x:c r="L24" s="3"/>
      <x:c r="M24" s="3"/>
      <x:c r="N24" s="3"/>
      <x:c r="O24" s="3"/>
      <x:c r="P24" s="50" t="str">
        <x:f>'Mise à jour mensuelle'!G4</x:f>
        <x:v>janv. 2027</x:v>
      </x:c>
      <x:c r="Q24" s="50"/>
      <x:c r="R24" s="50"/>
      <x:c r="S24" s="50"/>
      <x:c r="T24" s="50"/>
      <x:c r="U24" s="50"/>
      <x:c r="V24" s="50"/>
      <x:c r="W24" s="50"/>
    </x:row>
    <x:row r="25">
      <x:c r="A25" s="3"/>
      <x:c r="B25" s="3"/>
      <x:c r="C25" s="3"/>
      <x:c r="D25" s="3"/>
      <x:c r="E25" s="3"/>
      <x:c r="F25" s="3"/>
      <x:c r="G25" s="3"/>
      <x:c r="H25" s="3"/>
      <x:c r="I25" s="3"/>
      <x:c r="J25" s="3"/>
      <x:c r="K25" s="3"/>
      <x:c r="L25" s="3"/>
      <x:c r="M25" s="3"/>
      <x:c r="N25" s="3"/>
      <x:c r="O25" s="3"/>
      <x:c r="P25" s="50" t="str">
        <x:f>'Mise à jour mensuelle'!H4</x:f>
        <x:v>févr. 2027</x:v>
      </x:c>
      <x:c r="Q25" s="50"/>
      <x:c r="R25" s="50"/>
      <x:c r="S25" s="50"/>
      <x:c r="T25" s="50"/>
      <x:c r="U25" s="50"/>
      <x:c r="V25" s="50"/>
      <x:c r="W25" s="50"/>
    </x:row>
    <x:row r="26">
      <x:c r="A26" s="3"/>
      <x:c r="B26" s="3"/>
      <x:c r="C26" s="3"/>
      <x:c r="D26" s="3"/>
      <x:c r="E26" s="3"/>
      <x:c r="F26" s="3"/>
      <x:c r="G26" s="3"/>
      <x:c r="H26" s="3"/>
      <x:c r="I26" s="3"/>
      <x:c r="J26" s="3"/>
      <x:c r="K26" s="3"/>
      <x:c r="L26" s="3"/>
      <x:c r="M26" s="3"/>
      <x:c r="N26" s="3"/>
      <x:c r="O26" s="3"/>
      <x:c r="P26" s="50" t="str">
        <x:f>'Mise à jour mensuelle'!I4</x:f>
        <x:v>mars 2027</x:v>
      </x:c>
      <x:c r="Q26" s="50"/>
      <x:c r="R26" s="50"/>
      <x:c r="S26" s="50"/>
      <x:c r="T26" s="50"/>
      <x:c r="U26" s="50"/>
      <x:c r="V26" s="50"/>
      <x:c r="W26" s="50"/>
    </x:row>
    <x:row r="27">
      <x:c r="A27" s="3"/>
      <x:c r="B27" s="3"/>
      <x:c r="C27" s="3"/>
      <x:c r="D27" s="3"/>
      <x:c r="E27" s="3"/>
      <x:c r="F27" s="3"/>
      <x:c r="G27" s="3"/>
      <x:c r="H27" s="3"/>
      <x:c r="I27" s="3"/>
      <x:c r="J27" s="3"/>
      <x:c r="K27" s="3"/>
      <x:c r="L27" s="3"/>
      <x:c r="M27" s="3"/>
      <x:c r="N27" s="3"/>
      <x:c r="O27" s="3"/>
      <x:c r="P27" s="50" t="str">
        <x:f>'Mise à jour mensuelle'!J4</x:f>
        <x:v>avr. 2027</x:v>
      </x:c>
      <x:c r="Q27" s="50"/>
      <x:c r="R27" s="50"/>
      <x:c r="S27" s="50"/>
      <x:c r="T27" s="50"/>
      <x:c r="U27" s="50"/>
      <x:c r="V27" s="50"/>
      <x:c r="W27" s="50"/>
    </x:row>
    <x:row r="28">
      <x:c r="A28" s="3"/>
      <x:c r="B28" s="3"/>
      <x:c r="C28" s="3"/>
      <x:c r="D28" s="3"/>
      <x:c r="E28" s="3"/>
      <x:c r="F28" s="3"/>
      <x:c r="G28" s="3"/>
      <x:c r="H28" s="3"/>
      <x:c r="I28" s="3"/>
      <x:c r="J28" s="3"/>
      <x:c r="K28" s="3"/>
      <x:c r="L28" s="3"/>
      <x:c r="M28" s="3"/>
      <x:c r="N28" s="3"/>
      <x:c r="O28" s="3"/>
      <x:c r="P28" s="50" t="str">
        <x:f>'Mise à jour mensuelle'!K4</x:f>
        <x:v>mai 2027</x:v>
      </x:c>
      <x:c r="Q28" s="50"/>
      <x:c r="R28" s="50"/>
      <x:c r="S28" s="50"/>
      <x:c r="T28" s="50"/>
      <x:c r="U28" s="50"/>
      <x:c r="V28" s="50"/>
      <x:c r="W28" s="50"/>
    </x:row>
    <x:row r="29">
      <x:c r="A29" s="3"/>
      <x:c r="B29" s="3"/>
      <x:c r="C29" s="3"/>
      <x:c r="D29" s="3"/>
      <x:c r="E29" s="3"/>
      <x:c r="F29" s="3"/>
      <x:c r="G29" s="3"/>
      <x:c r="H29" s="3"/>
      <x:c r="I29" s="3"/>
      <x:c r="J29" s="3"/>
      <x:c r="K29" s="3"/>
      <x:c r="L29" s="3"/>
      <x:c r="M29" s="3"/>
      <x:c r="N29" s="3"/>
      <x:c r="O29" s="3"/>
      <x:c r="P29" s="50" t="str">
        <x:f>'Mise à jour mensuelle'!L4</x:f>
        <x:v>juin 2027</x:v>
      </x:c>
      <x:c r="Q29" s="50"/>
      <x:c r="R29" s="50"/>
      <x:c r="S29" s="50"/>
      <x:c r="T29" s="50"/>
      <x:c r="U29" s="50"/>
      <x:c r="V29" s="50"/>
      <x:c r="W29" s="50"/>
    </x:row>
    <x:row r="30">
      <x:c r="A30" s="20" t="str">
        <x:v>TOP 3 ACTIONS</x:v>
      </x:c>
      <x:c r="B30" s="20" t="str">
        <x:v>TOP 3 ACTIONS</x:v>
      </x:c>
      <x:c r="C30" s="20" t="str">
        <x:v>TOP 3 ACTIONS</x:v>
      </x:c>
      <x:c r="D30" s="20" t="str">
        <x:v>TOP 3 ACTIONS</x:v>
      </x:c>
      <x:c r="E30" s="20" t="str">
        <x:v>TOP 3 ACTIONS</x:v>
      </x:c>
      <x:c r="F30" s="20" t="str">
        <x:v>TOP 3 ACTIONS</x:v>
      </x:c>
      <x:c r="G30" s="20" t="str">
        <x:v>TOP 3 ACTIONS</x:v>
      </x:c>
      <x:c r="H30" s="20" t="str">
        <x:v>TOP 3 ACTIONS</x:v>
      </x:c>
      <x:c r="I30" s="20" t="str">
        <x:v>TOP 3 ACTIONS</x:v>
      </x:c>
      <x:c r="J30" s="20" t="str">
        <x:v>TOP 3 ACTIONS</x:v>
      </x:c>
      <x:c r="K30" s="20" t="str">
        <x:v>TOP 3 ACTIONS</x:v>
      </x:c>
      <x:c r="L30" s="20" t="str">
        <x:v>TOP 3 ACTIONS</x:v>
      </x:c>
      <x:c r="M30" s="20" t="str">
        <x:v>TOP 3 ACTIONS</x:v>
      </x:c>
      <x:c r="N30" s="20" t="str">
        <x:v>TOP 3 ACTIONS</x:v>
      </x:c>
      <x:c r="O30" s="3"/>
      <x:c r="P30" s="50" t="str">
        <x:f>'Mise à jour mensuelle'!M4</x:f>
        <x:v>juil. 2027</x:v>
      </x:c>
      <x:c r="Q30" s="50"/>
      <x:c r="R30" s="50"/>
      <x:c r="S30" s="50"/>
      <x:c r="T30" s="50"/>
      <x:c r="U30" s="50"/>
      <x:c r="V30" s="50"/>
      <x:c r="W30" s="50"/>
    </x:row>
    <x:row r="31">
      <x:c r="A31" s="64" t="str">
        <x:v>Action</x:v>
      </x:c>
      <x:c r="B31" s="64"/>
      <x:c r="C31" s="64"/>
      <x:c r="D31" s="64"/>
      <x:c r="E31" s="64"/>
      <x:c r="F31" s="64"/>
      <x:c r="G31" s="64" t="str">
        <x:v>Responsable</x:v>
      </x:c>
      <x:c r="H31" s="64"/>
      <x:c r="I31" s="64" t="str">
        <x:v>Date</x:v>
      </x:c>
      <x:c r="J31" s="64"/>
      <x:c r="K31" s="64" t="str">
        <x:v>Statut</x:v>
      </x:c>
      <x:c r="L31" s="64"/>
      <x:c r="M31" s="64" t="str">
        <x:v>Résultat attendu</x:v>
      </x:c>
      <x:c r="N31" s="64"/>
      <x:c r="O31" s="3"/>
      <x:c r="P31" s="50"/>
      <x:c r="Q31" s="50"/>
      <x:c r="R31" s="50"/>
      <x:c r="S31" s="50"/>
      <x:c r="T31" s="50"/>
      <x:c r="U31" s="50"/>
      <x:c r="V31" s="50"/>
      <x:c r="W31" s="50"/>
    </x:row>
    <x:row r="32">
      <x:c r="A32" s="178" t="str">
        <x:f>IF('Actions'!A5="","",'Actions'!A5)</x:f>
      </x:c>
      <x:c r="B32" s="178"/>
      <x:c r="C32" s="178"/>
      <x:c r="D32" s="178"/>
      <x:c r="E32" s="178"/>
      <x:c r="F32" s="178"/>
      <x:c r="G32" s="178" t="str">
        <x:f>IF('Actions'!B5="","",'Actions'!B5)</x:f>
      </x:c>
      <x:c r="H32" s="178"/>
      <x:c r="I32" s="181" t="str">
        <x:f>IF('Actions'!C5="","",'Actions'!C5)</x:f>
      </x:c>
      <x:c r="J32" s="178"/>
      <x:c r="K32" s="178" t="str">
        <x:f>IF('Actions'!D5="","",'Actions'!D5)</x:f>
      </x:c>
      <x:c r="L32" s="178"/>
      <x:c r="M32" s="178" t="str">
        <x:f>IF('Actions'!E5="","",'Actions'!E5)</x:f>
      </x:c>
      <x:c r="N32" s="178"/>
      <x:c r="O32" s="3"/>
      <x:c r="P32" s="50"/>
      <x:c r="Q32" s="50"/>
      <x:c r="R32" s="50"/>
      <x:c r="S32" s="50"/>
      <x:c r="T32" s="50"/>
      <x:c r="U32" s="50"/>
      <x:c r="V32" s="50"/>
      <x:c r="W32" s="50"/>
    </x:row>
    <x:row r="33">
      <x:c r="A33" s="179" t="str">
        <x:f>IF('Actions'!A6="","",'Actions'!A6)</x:f>
      </x:c>
      <x:c r="B33" s="179"/>
      <x:c r="C33" s="179"/>
      <x:c r="D33" s="179"/>
      <x:c r="E33" s="179"/>
      <x:c r="F33" s="179"/>
      <x:c r="G33" s="179" t="str">
        <x:f>IF('Actions'!B6="","",'Actions'!B6)</x:f>
      </x:c>
      <x:c r="H33" s="179"/>
      <x:c r="I33" s="182" t="str">
        <x:f>IF('Actions'!C6="","",'Actions'!C6)</x:f>
      </x:c>
      <x:c r="J33" s="179"/>
      <x:c r="K33" s="179" t="str">
        <x:f>IF('Actions'!D6="","",'Actions'!D6)</x:f>
      </x:c>
      <x:c r="L33" s="179"/>
      <x:c r="M33" s="179" t="str">
        <x:f>IF('Actions'!E6="","",'Actions'!E6)</x:f>
      </x:c>
      <x:c r="N33" s="179"/>
      <x:c r="O33" s="3"/>
      <x:c r="P33" s="50"/>
      <x:c r="Q33" s="50"/>
      <x:c r="R33" s="50"/>
      <x:c r="S33" s="50"/>
      <x:c r="T33" s="50"/>
      <x:c r="U33" s="50"/>
      <x:c r="V33" s="50"/>
      <x:c r="W33" s="50"/>
    </x:row>
    <x:row r="34">
      <x:c r="A34" s="180" t="str">
        <x:f>IF('Actions'!A7="","",'Actions'!A7)</x:f>
      </x:c>
      <x:c r="B34" s="180"/>
      <x:c r="C34" s="180"/>
      <x:c r="D34" s="180"/>
      <x:c r="E34" s="180"/>
      <x:c r="F34" s="180"/>
      <x:c r="G34" s="180" t="str">
        <x:f>IF('Actions'!B7="","",'Actions'!B7)</x:f>
      </x:c>
      <x:c r="H34" s="180"/>
      <x:c r="I34" s="183" t="str">
        <x:f>IF('Actions'!C7="","",'Actions'!C7)</x:f>
      </x:c>
      <x:c r="J34" s="180"/>
      <x:c r="K34" s="180" t="str">
        <x:f>IF('Actions'!D7="","",'Actions'!D7)</x:f>
      </x:c>
      <x:c r="L34" s="180"/>
      <x:c r="M34" s="180" t="str">
        <x:f>IF('Actions'!E7="","",'Actions'!E7)</x:f>
      </x:c>
      <x:c r="N34" s="180"/>
      <x:c r="O34" s="3"/>
      <x:c r="P34" s="50"/>
      <x:c r="Q34" s="50"/>
      <x:c r="R34" s="50"/>
      <x:c r="S34" s="50"/>
      <x:c r="T34" s="50"/>
      <x:c r="U34" s="50"/>
      <x:c r="V34" s="50"/>
      <x:c r="W34" s="50"/>
    </x:row>
    <x:row r="35">
      <x:c r="A35" s="3"/>
      <x:c r="B35" s="3"/>
      <x:c r="C35" s="3"/>
      <x:c r="D35" s="3"/>
      <x:c r="E35" s="3"/>
      <x:c r="F35" s="3"/>
      <x:c r="G35" s="3"/>
      <x:c r="H35" s="3"/>
      <x:c r="I35" s="3"/>
      <x:c r="J35" s="3"/>
      <x:c r="K35" s="3"/>
      <x:c r="L35" s="3"/>
      <x:c r="M35" s="3"/>
      <x:c r="N35" s="3"/>
      <x:c r="O35" s="3"/>
      <x:c r="P35" s="50"/>
      <x:c r="Q35" s="50"/>
      <x:c r="R35" s="50"/>
      <x:c r="S35" s="50"/>
      <x:c r="T35" s="50"/>
      <x:c r="U35" s="50"/>
      <x:c r="V35" s="50"/>
      <x:c r="W35" s="50"/>
    </x:row>
    <x:row r="36">
      <x:c r="A36" s="20" t="str">
        <x:f>"SYNTHÈSE AUTOMATIQUE · "&amp;$D$3</x:f>
        <x:v>SYNTHÈSE AUTOMATIQUE · Toute la période (12 mois)</x:v>
      </x:c>
      <x:c r="B36" s="20" t="str"/>
      <x:c r="C36" s="20" t="str"/>
      <x:c r="D36" s="20" t="str"/>
      <x:c r="E36" s="20" t="str"/>
      <x:c r="F36" s="20" t="str"/>
      <x:c r="G36" s="20" t="str"/>
      <x:c r="H36" s="20" t="str"/>
      <x:c r="I36" s="20" t="str"/>
      <x:c r="J36" s="20" t="str"/>
      <x:c r="K36" s="20" t="str"/>
      <x:c r="L36" s="20" t="str"/>
      <x:c r="M36" s="20" t="str"/>
      <x:c r="N36" s="20" t="str"/>
      <x:c r="O36" s="3"/>
      <x:c r="P36" s="50"/>
      <x:c r="Q36" s="50"/>
      <x:c r="R36" s="50"/>
      <x:c r="S36" s="50"/>
      <x:c r="T36" s="50"/>
      <x:c r="U36" s="50"/>
      <x:c r="V36" s="50"/>
      <x:c r="W36" s="50"/>
    </x:row>
    <x:row r="37">
      <x:c r="A37" s="184" t="str">
        <x:v>Période / état</x:v>
      </x:c>
      <x:c r="B37" s="184"/>
      <x:c r="C37" s="184"/>
      <x:c r="D37" s="184"/>
      <x:c r="E37" s="184" t="str">
        <x:v>Résultat</x:v>
      </x:c>
      <x:c r="F37" s="184"/>
      <x:c r="G37" s="184"/>
      <x:c r="H37" s="184"/>
      <x:c r="I37" s="184"/>
      <x:c r="J37" s="184" t="str">
        <x:v>Argent disponible</x:v>
      </x:c>
      <x:c r="K37" s="184"/>
      <x:c r="L37" s="184"/>
      <x:c r="M37" s="184"/>
      <x:c r="N37" s="184"/>
      <x:c r="O37" s="3"/>
      <x:c r="P37" s="50"/>
      <x:c r="Q37" s="50"/>
      <x:c r="R37" s="50"/>
      <x:c r="S37" s="50"/>
      <x:c r="T37" s="50"/>
      <x:c r="U37" s="50"/>
      <x:c r="V37" s="50"/>
      <x:c r="W37" s="50"/>
    </x:row>
    <x:row r="38">
      <x:c r="A38" s="194" t="str">
        <x:f>IF(OR($M$11="À renseigner",$M$11="À compléter"),"À renseigner",$D$3)</x:f>
        <x:v>À renseigner</x:v>
      </x:c>
      <x:c r="B38" s="195"/>
      <x:c r="C38" s="195"/>
      <x:c r="D38" s="196"/>
      <x:c r="E38" s="212" t="n">
        <x:f>IF($D$3="Toute la période (12 mois)",SUM('Mise à jour mensuelle'!B17:M17),IFERROR(IF(INDEX('Mise à jour mensuelle'!$B$17:$M$17,1,MATCH($D$3,'Mise à jour mensuelle'!$B$4:$M$4,0))="","",INDEX('Mise à jour mensuelle'!$B$17:$M$17,1,MATCH($D$3,'Mise à jour mensuelle'!$B$4:$M$4,0))),""))</x:f>
        <x:v>0</x:v>
      </x:c>
      <x:c r="F38" s="213"/>
      <x:c r="G38" s="213"/>
      <x:c r="H38" s="213"/>
      <x:c r="I38" s="213"/>
      <x:c r="J38" s="213" t="str">
        <x:f>IF($D$3="Toute la période (12 mois)",IF('Mise à jour mensuelle'!M20&lt;&gt;"",'Mise à jour mensuelle'!M20,IF('Mise à jour mensuelle'!L20&lt;&gt;"",'Mise à jour mensuelle'!L20,IF('Mise à jour mensuelle'!K20&lt;&gt;"",'Mise à jour mensuelle'!K20,IF('Mise à jour mensuelle'!J20&lt;&gt;"",'Mise à jour mensuelle'!J20,IF('Mise à jour mensuelle'!I20&lt;&gt;"",'Mise à jour mensuelle'!I20,IF('Mise à jour mensuelle'!H20&lt;&gt;"",'Mise à jour mensuelle'!H20,IF('Mise à jour mensuelle'!G20&lt;&gt;"",'Mise à jour mensuelle'!G20,IF('Mise à jour mensuelle'!F20&lt;&gt;"",'Mise à jour mensuelle'!F20,IF('Mise à jour mensuelle'!E20&lt;&gt;"",'Mise à jour mensuelle'!E20,IF('Mise à jour mensuelle'!D20&lt;&gt;"",'Mise à jour mensuelle'!D20,IF('Mise à jour mensuelle'!C20&lt;&gt;"",'Mise à jour mensuelle'!C20,IF('Mise à jour mensuelle'!B20&lt;&gt;"",'Mise à jour mensuelle'!B20,"")))))))))))),IFERROR(IF(INDEX('Mise à jour mensuelle'!$B$20:$M$20,1,MATCH($D$3,'Mise à jour mensuelle'!$B$4:$M$4,0))="","",INDEX('Mise à jour mensuelle'!$B$20:$M$20,1,MATCH($D$3,'Mise à jour mensuelle'!$B$4:$M$4,0))),""))</x:f>
      </x:c>
      <x:c r="K38" s="213"/>
      <x:c r="L38" s="213"/>
      <x:c r="M38" s="213"/>
      <x:c r="N38" s="214"/>
      <x:c r="O38" s="3"/>
      <x:c r="P38" s="50"/>
      <x:c r="Q38" s="50"/>
      <x:c r="R38" s="50"/>
      <x:c r="S38" s="50"/>
      <x:c r="T38" s="50"/>
      <x:c r="U38" s="50"/>
      <x:c r="V38" s="50"/>
      <x:c r="W38" s="50"/>
    </x:row>
    <x:row r="39">
      <x:c r="A39" s="197"/>
      <x:c r="B39" s="198"/>
      <x:c r="C39" s="198"/>
      <x:c r="D39" s="199"/>
      <x:c r="E39" s="215"/>
      <x:c r="F39" s="216"/>
      <x:c r="G39" s="216"/>
      <x:c r="H39" s="216"/>
      <x:c r="I39" s="216"/>
      <x:c r="J39" s="216"/>
      <x:c r="K39" s="216"/>
      <x:c r="L39" s="216"/>
      <x:c r="M39" s="216"/>
      <x:c r="N39" s="217"/>
      <x:c r="O39" s="3"/>
      <x:c r="P39" s="50"/>
      <x:c r="Q39" s="50"/>
      <x:c r="R39" s="50"/>
      <x:c r="S39" s="50"/>
      <x:c r="T39" s="50"/>
      <x:c r="U39" s="50"/>
      <x:c r="V39" s="50"/>
      <x:c r="W39" s="50"/>
    </x:row>
    <x:row r="40">
      <x:c r="A40" s="200"/>
      <x:c r="B40" s="201"/>
      <x:c r="C40" s="201"/>
      <x:c r="D40" s="202"/>
      <x:c r="E40" s="218"/>
      <x:c r="F40" s="219"/>
      <x:c r="G40" s="219"/>
      <x:c r="H40" s="219"/>
      <x:c r="I40" s="219"/>
      <x:c r="J40" s="219"/>
      <x:c r="K40" s="219"/>
      <x:c r="L40" s="219"/>
      <x:c r="M40" s="219"/>
      <x:c r="N40" s="220"/>
      <x:c r="O40" s="3"/>
      <x:c r="P40" s="50"/>
      <x:c r="Q40" s="50"/>
      <x:c r="R40" s="50"/>
      <x:c r="S40" s="50"/>
      <x:c r="T40" s="50"/>
      <x:c r="U40" s="50"/>
      <x:c r="V40" s="50"/>
      <x:c r="W40" s="50"/>
    </x:row>
    <x:row r="41">
      <x:c r="A41" s="3"/>
      <x:c r="B41" s="3"/>
      <x:c r="C41" s="3"/>
      <x:c r="D41" s="3"/>
      <x:c r="E41" s="3"/>
      <x:c r="F41" s="3"/>
      <x:c r="G41" s="3"/>
      <x:c r="H41" s="3"/>
      <x:c r="I41" s="3"/>
      <x:c r="J41" s="3"/>
      <x:c r="K41" s="3"/>
      <x:c r="L41" s="3"/>
      <x:c r="M41" s="3"/>
      <x:c r="N41" s="3"/>
      <x:c r="O41" s="3"/>
      <x:c r="P41" s="50"/>
      <x:c r="Q41" s="50"/>
      <x:c r="R41" s="50"/>
      <x:c r="S41" s="50"/>
      <x:c r="T41" s="50"/>
      <x:c r="U41" s="50"/>
      <x:c r="V41" s="50"/>
      <x:c r="W41" s="50"/>
    </x:row>
    <x:row r="42">
      <x:c r="A42" s="3"/>
      <x:c r="B42" s="3"/>
      <x:c r="C42" s="3"/>
      <x:c r="D42" s="3"/>
      <x:c r="E42" s="3"/>
      <x:c r="F42" s="3"/>
      <x:c r="G42" s="3"/>
      <x:c r="H42" s="3"/>
      <x:c r="I42" s="3"/>
      <x:c r="J42" s="3"/>
      <x:c r="K42" s="3"/>
      <x:c r="L42" s="3"/>
      <x:c r="M42" s="3"/>
      <x:c r="N42" s="3"/>
      <x:c r="O42" s="3"/>
      <x:c r="P42" s="50"/>
      <x:c r="Q42" s="50"/>
      <x:c r="R42" s="50"/>
      <x:c r="S42" s="50"/>
      <x:c r="T42" s="50"/>
      <x:c r="U42" s="50"/>
      <x:c r="V42" s="50"/>
      <x:c r="W42" s="50"/>
    </x:row>
    <x:row r="43">
      <x:c r="A43" s="3"/>
      <x:c r="B43" s="3"/>
      <x:c r="C43" s="3"/>
      <x:c r="D43" s="3"/>
      <x:c r="E43" s="3"/>
      <x:c r="F43" s="3"/>
      <x:c r="G43" s="3"/>
      <x:c r="H43" s="3"/>
      <x:c r="I43" s="3"/>
      <x:c r="J43" s="3"/>
      <x:c r="K43" s="3"/>
      <x:c r="L43" s="3"/>
      <x:c r="M43" s="3"/>
      <x:c r="N43" s="3"/>
      <x:c r="O43" s="3"/>
      <x:c r="P43" s="50"/>
      <x:c r="Q43" s="50"/>
      <x:c r="R43" s="50"/>
      <x:c r="S43" s="50"/>
      <x:c r="T43" s="50"/>
      <x:c r="U43" s="50"/>
      <x:c r="V43" s="50"/>
      <x:c r="W43" s="50"/>
    </x:row>
    <x:row r="44">
      <x:c r="A44" s="3"/>
      <x:c r="B44" s="3"/>
      <x:c r="C44" s="3"/>
      <x:c r="D44" s="3"/>
      <x:c r="E44" s="3"/>
      <x:c r="F44" s="3"/>
      <x:c r="G44" s="3"/>
      <x:c r="H44" s="3"/>
      <x:c r="I44" s="3"/>
      <x:c r="J44" s="3"/>
      <x:c r="K44" s="3"/>
      <x:c r="L44" s="3"/>
      <x:c r="M44" s="3"/>
      <x:c r="N44" s="3"/>
      <x:c r="O44" s="3"/>
      <x:c r="P44" s="50"/>
      <x:c r="Q44" s="50"/>
      <x:c r="R44" s="50"/>
      <x:c r="S44" s="50"/>
      <x:c r="T44" s="50"/>
      <x:c r="U44" s="50"/>
      <x:c r="V44" s="50"/>
      <x:c r="W44" s="50"/>
    </x:row>
  </x:sheetData>
  <x:mergeCells>
    <x:mergeCell ref="A1:N1"/>
    <x:mergeCell ref="A2:N2"/>
    <x:mergeCell ref="A3:C3"/>
    <x:mergeCell ref="D3:F3"/>
    <x:mergeCell ref="A4:C5"/>
    <x:mergeCell ref="A6:C8"/>
    <x:mergeCell ref="D4:F5"/>
    <x:mergeCell ref="D6:F8"/>
    <x:mergeCell ref="G4:I5"/>
    <x:mergeCell ref="G6:I8"/>
    <x:mergeCell ref="J4:N5"/>
    <x:mergeCell ref="J6:N8"/>
    <x:mergeCell ref="A10:D10"/>
    <x:mergeCell ref="E10:H10"/>
    <x:mergeCell ref="I10:L10"/>
    <x:mergeCell ref="M10:N10"/>
    <x:mergeCell ref="A11:D13"/>
    <x:mergeCell ref="E11:H13"/>
    <x:mergeCell ref="I11:L13"/>
    <x:mergeCell ref="M11:N13"/>
    <x:mergeCell ref="A30:N30"/>
    <x:mergeCell ref="A31:F31"/>
    <x:mergeCell ref="G31:H31"/>
    <x:mergeCell ref="I31:J31"/>
    <x:mergeCell ref="K31:L31"/>
    <x:mergeCell ref="M31:N31"/>
    <x:mergeCell ref="A32:F32"/>
    <x:mergeCell ref="G32:H32"/>
    <x:mergeCell ref="I32:J32"/>
    <x:mergeCell ref="K32:L32"/>
    <x:mergeCell ref="M32:N32"/>
    <x:mergeCell ref="A33:F33"/>
    <x:mergeCell ref="G33:H33"/>
    <x:mergeCell ref="I33:J33"/>
    <x:mergeCell ref="K33:L33"/>
    <x:mergeCell ref="M33:N33"/>
    <x:mergeCell ref="A34:F34"/>
    <x:mergeCell ref="G34:H34"/>
    <x:mergeCell ref="I34:J34"/>
    <x:mergeCell ref="K34:L34"/>
    <x:mergeCell ref="M34:N34"/>
    <x:mergeCell ref="A36:N36"/>
    <x:mergeCell ref="A37:D37"/>
    <x:mergeCell ref="E37:I37"/>
    <x:mergeCell ref="J37:N37"/>
    <x:mergeCell ref="A38:D40"/>
    <x:mergeCell ref="E38:I40"/>
    <x:mergeCell ref="J38:N40"/>
  </x:mergeCells>
  <x:conditionalFormatting sqref="M11:N13">
    <x:cfRule type="containsText" dxfId="5" priority="1" operator="containsText" text="OK"/>
    <x:cfRule type="containsText" dxfId="6" priority="2" operator="containsText" text="À "/>
  </x:conditionalFormatting>
  <x:dataValidations count="1">
    <x:dataValidation type="list" sqref="D3">
      <x:formula1>'Tableau de bord'!$P$18:$P$30</x:formula1>
    </x:dataValidation>
  </x:dataValidations>
  <x:pageMargins left="0.7" right="0.7" top="0.75" bottom="0.75" header="0.3" footer="0.3"/>
  <x:drawing xmlns:r="http://schemas.openxmlformats.org/officeDocument/2006/relationships" r:id="Rfa459c1d0c334d46"/>
</x:worksheet>
</file>

<file path=xl/worksheets/sheet3.xml><?xml version="1.0" encoding="utf-8"?>
<x:worksheet xmlns:x="http://schemas.openxmlformats.org/spreadsheetml/2006/main">
  <x:sheetViews>
    <x:sheetView showGridLines="0" workbookViewId="0"/>
  </x:sheetViews>
  <x:sheetFormatPr defaultRowHeight="15"/>
  <x:cols>
    <x:col min="1" max="1" width="32.220001220703125" hidden="0" customWidth="1"/>
    <x:col min="2" max="2" width="11.670000076293945" hidden="0" customWidth="1"/>
    <x:col min="3" max="3" width="11.670000076293945" hidden="0" customWidth="1"/>
    <x:col min="4" max="4" width="11.670000076293945" hidden="0" customWidth="1"/>
    <x:col min="5" max="5" width="11.670000076293945" hidden="0" customWidth="1"/>
    <x:col min="6" max="6" width="11.670000076293945" hidden="0" customWidth="1"/>
    <x:col min="7" max="7" width="11.670000076293945" hidden="0" customWidth="1"/>
    <x:col min="8" max="8" width="11.670000076293945" hidden="0" customWidth="1"/>
    <x:col min="9" max="9" width="11.670000076293945" hidden="0" customWidth="1"/>
    <x:col min="10" max="10" width="11.670000076293945" hidden="0" customWidth="1"/>
    <x:col min="11" max="11" width="11.670000076293945" hidden="0" customWidth="1"/>
    <x:col min="12" max="12" width="11.670000076293945" hidden="0" customWidth="1"/>
    <x:col min="13" max="13" width="11.670000076293945" hidden="0" customWidth="1"/>
  </x:cols>
  <x:sheetData>
    <x:row r="1" ht="44" customHeight="1">
      <x:c r="A1" s="6" t="str">
        <x:v>Levier · Mise à jour mensuelle</x:v>
      </x:c>
      <x:c r="B1" s="6" t="str">
        <x:v>Levier · Mise à jour mensuelle</x:v>
      </x:c>
      <x:c r="C1" s="6" t="str">
        <x:v>Levier · Mise à jour mensuelle</x:v>
      </x:c>
      <x:c r="D1" s="6" t="str">
        <x:v>Levier · Mise à jour mensuelle</x:v>
      </x:c>
      <x:c r="E1" s="6" t="str">
        <x:v>Levier · Mise à jour mensuelle</x:v>
      </x:c>
      <x:c r="F1" s="6" t="str">
        <x:v>Levier · Mise à jour mensuelle</x:v>
      </x:c>
      <x:c r="G1" s="6" t="str">
        <x:v>Levier · Mise à jour mensuelle</x:v>
      </x:c>
      <x:c r="H1" s="6" t="str">
        <x:v>Levier · Mise à jour mensuelle</x:v>
      </x:c>
      <x:c r="I1" s="6" t="str">
        <x:v>Levier · Mise à jour mensuelle</x:v>
      </x:c>
      <x:c r="J1" s="6" t="str">
        <x:v>Levier · Mise à jour mensuelle</x:v>
      </x:c>
      <x:c r="K1" s="6" t="str">
        <x:v>Levier · Mise à jour mensuelle</x:v>
      </x:c>
      <x:c r="L1" s="6" t="str">
        <x:v>Levier · Mise à jour mensuelle</x:v>
      </x:c>
      <x:c r="M1" s="6" t="str">
        <x:v>Levier · Mise à jour mensuelle</x:v>
      </x:c>
    </x:row>
    <x:row r="2">
      <x:c r="A2" s="9" t="str">
        <x:v>TABLEAU DE PILOTAGE OPÉRATIONNEL</x:v>
      </x:c>
      <x:c r="B2" s="9" t="str">
        <x:v>TABLEAU DE PILOTAGE OPÉRATIONNEL</x:v>
      </x:c>
      <x:c r="C2" s="9" t="str">
        <x:v>TABLEAU DE PILOTAGE OPÉRATIONNEL</x:v>
      </x:c>
      <x:c r="D2" s="9" t="str">
        <x:v>TABLEAU DE PILOTAGE OPÉRATIONNEL</x:v>
      </x:c>
      <x:c r="E2" s="9" t="str">
        <x:v>TABLEAU DE PILOTAGE OPÉRATIONNEL</x:v>
      </x:c>
      <x:c r="F2" s="9" t="str">
        <x:v>TABLEAU DE PILOTAGE OPÉRATIONNEL</x:v>
      </x:c>
      <x:c r="G2" s="9" t="str">
        <x:v>TABLEAU DE PILOTAGE OPÉRATIONNEL</x:v>
      </x:c>
      <x:c r="H2" s="9" t="str">
        <x:v>TABLEAU DE PILOTAGE OPÉRATIONNEL</x:v>
      </x:c>
      <x:c r="I2" s="9" t="str">
        <x:v>TABLEAU DE PILOTAGE OPÉRATIONNEL</x:v>
      </x:c>
      <x:c r="J2" s="9" t="str">
        <x:v>TABLEAU DE PILOTAGE OPÉRATIONNEL</x:v>
      </x:c>
      <x:c r="K2" s="9" t="str">
        <x:v>TABLEAU DE PILOTAGE OPÉRATIONNEL</x:v>
      </x:c>
      <x:c r="L2" s="9" t="str">
        <x:v>TABLEAU DE PILOTAGE OPÉRATIONNEL</x:v>
      </x:c>
      <x:c r="M2" s="9" t="str">
        <x:v>TABLEAU DE PILOTAGE OPÉRATIONNEL</x:v>
      </x:c>
    </x:row>
    <x:row r="3">
      <x:c r="A3" s="3"/>
      <x:c r="B3" s="3"/>
      <x:c r="C3" s="3"/>
      <x:c r="D3" s="3"/>
      <x:c r="E3" s="3"/>
      <x:c r="F3" s="3"/>
      <x:c r="G3" s="3"/>
      <x:c r="H3" s="3"/>
      <x:c r="I3" s="3"/>
      <x:c r="J3" s="3"/>
      <x:c r="K3" s="3"/>
      <x:c r="L3" s="3"/>
      <x:c r="M3" s="3"/>
    </x:row>
    <x:row r="4" ht="32" customHeight="1">
      <x:c r="A4" s="29" t="str">
        <x:v>Indicateur</x:v>
      </x:c>
      <x:c r="B4" s="29" t="str">
        <x:f>IF(MONTH(B23)=1,"janv.",IF(MONTH(B23)=2,"févr.",IF(MONTH(B23)=3,"mars",IF(MONTH(B23)=4,"avr.",IF(MONTH(B23)=5,"mai",IF(MONTH(B23)=6,"juin",IF(MONTH(B23)=7,"juil.",IF(MONTH(B23)=8,"août",IF(MONTH(B23)=9,"sept.",IF(MONTH(B23)=10,"oct.",IF(MONTH(B23)=11,"nov.","déc.")))))))))))&amp;" "&amp;YEAR(B23)</x:f>
        <x:v>août 2026</x:v>
      </x:c>
      <x:c r="C4" s="29" t="str">
        <x:f>IF(MONTH(C23)=1,"janv.",IF(MONTH(C23)=2,"févr.",IF(MONTH(C23)=3,"mars",IF(MONTH(C23)=4,"avr.",IF(MONTH(C23)=5,"mai",IF(MONTH(C23)=6,"juin",IF(MONTH(C23)=7,"juil.",IF(MONTH(C23)=8,"août",IF(MONTH(C23)=9,"sept.",IF(MONTH(C23)=10,"oct.",IF(MONTH(C23)=11,"nov.","déc.")))))))))))&amp;" "&amp;YEAR(C23)</x:f>
        <x:v>sept. 2026</x:v>
      </x:c>
      <x:c r="D4" s="29" t="str">
        <x:f>IF(MONTH(D23)=1,"janv.",IF(MONTH(D23)=2,"févr.",IF(MONTH(D23)=3,"mars",IF(MONTH(D23)=4,"avr.",IF(MONTH(D23)=5,"mai",IF(MONTH(D23)=6,"juin",IF(MONTH(D23)=7,"juil.",IF(MONTH(D23)=8,"août",IF(MONTH(D23)=9,"sept.",IF(MONTH(D23)=10,"oct.",IF(MONTH(D23)=11,"nov.","déc.")))))))))))&amp;" "&amp;YEAR(D23)</x:f>
        <x:v>oct. 2026</x:v>
      </x:c>
      <x:c r="E4" s="29" t="str">
        <x:f>IF(MONTH(E23)=1,"janv.",IF(MONTH(E23)=2,"févr.",IF(MONTH(E23)=3,"mars",IF(MONTH(E23)=4,"avr.",IF(MONTH(E23)=5,"mai",IF(MONTH(E23)=6,"juin",IF(MONTH(E23)=7,"juil.",IF(MONTH(E23)=8,"août",IF(MONTH(E23)=9,"sept.",IF(MONTH(E23)=10,"oct.",IF(MONTH(E23)=11,"nov.","déc.")))))))))))&amp;" "&amp;YEAR(E23)</x:f>
        <x:v>nov. 2026</x:v>
      </x:c>
      <x:c r="F4" s="29" t="str">
        <x:f>IF(MONTH(F23)=1,"janv.",IF(MONTH(F23)=2,"févr.",IF(MONTH(F23)=3,"mars",IF(MONTH(F23)=4,"avr.",IF(MONTH(F23)=5,"mai",IF(MONTH(F23)=6,"juin",IF(MONTH(F23)=7,"juil.",IF(MONTH(F23)=8,"août",IF(MONTH(F23)=9,"sept.",IF(MONTH(F23)=10,"oct.",IF(MONTH(F23)=11,"nov.","déc.")))))))))))&amp;" "&amp;YEAR(F23)</x:f>
        <x:v>déc. 2026</x:v>
      </x:c>
      <x:c r="G4" s="29" t="str">
        <x:f>IF(MONTH(G23)=1,"janv.",IF(MONTH(G23)=2,"févr.",IF(MONTH(G23)=3,"mars",IF(MONTH(G23)=4,"avr.",IF(MONTH(G23)=5,"mai",IF(MONTH(G23)=6,"juin",IF(MONTH(G23)=7,"juil.",IF(MONTH(G23)=8,"août",IF(MONTH(G23)=9,"sept.",IF(MONTH(G23)=10,"oct.",IF(MONTH(G23)=11,"nov.","déc.")))))))))))&amp;" "&amp;YEAR(G23)</x:f>
        <x:v>janv. 2027</x:v>
      </x:c>
      <x:c r="H4" s="29" t="str">
        <x:f>IF(MONTH(H23)=1,"janv.",IF(MONTH(H23)=2,"févr.",IF(MONTH(H23)=3,"mars",IF(MONTH(H23)=4,"avr.",IF(MONTH(H23)=5,"mai",IF(MONTH(H23)=6,"juin",IF(MONTH(H23)=7,"juil.",IF(MONTH(H23)=8,"août",IF(MONTH(H23)=9,"sept.",IF(MONTH(H23)=10,"oct.",IF(MONTH(H23)=11,"nov.","déc.")))))))))))&amp;" "&amp;YEAR(H23)</x:f>
        <x:v>févr. 2027</x:v>
      </x:c>
      <x:c r="I4" s="29" t="str">
        <x:f>IF(MONTH(I23)=1,"janv.",IF(MONTH(I23)=2,"févr.",IF(MONTH(I23)=3,"mars",IF(MONTH(I23)=4,"avr.",IF(MONTH(I23)=5,"mai",IF(MONTH(I23)=6,"juin",IF(MONTH(I23)=7,"juil.",IF(MONTH(I23)=8,"août",IF(MONTH(I23)=9,"sept.",IF(MONTH(I23)=10,"oct.",IF(MONTH(I23)=11,"nov.","déc.")))))))))))&amp;" "&amp;YEAR(I23)</x:f>
        <x:v>mars 2027</x:v>
      </x:c>
      <x:c r="J4" s="29" t="str">
        <x:f>IF(MONTH(J23)=1,"janv.",IF(MONTH(J23)=2,"févr.",IF(MONTH(J23)=3,"mars",IF(MONTH(J23)=4,"avr.",IF(MONTH(J23)=5,"mai",IF(MONTH(J23)=6,"juin",IF(MONTH(J23)=7,"juil.",IF(MONTH(J23)=8,"août",IF(MONTH(J23)=9,"sept.",IF(MONTH(J23)=10,"oct.",IF(MONTH(J23)=11,"nov.","déc.")))))))))))&amp;" "&amp;YEAR(J23)</x:f>
        <x:v>avr. 2027</x:v>
      </x:c>
      <x:c r="K4" s="29" t="str">
        <x:f>IF(MONTH(K23)=1,"janv.",IF(MONTH(K23)=2,"févr.",IF(MONTH(K23)=3,"mars",IF(MONTH(K23)=4,"avr.",IF(MONTH(K23)=5,"mai",IF(MONTH(K23)=6,"juin",IF(MONTH(K23)=7,"juil.",IF(MONTH(K23)=8,"août",IF(MONTH(K23)=9,"sept.",IF(MONTH(K23)=10,"oct.",IF(MONTH(K23)=11,"nov.","déc.")))))))))))&amp;" "&amp;YEAR(K23)</x:f>
        <x:v>mai 2027</x:v>
      </x:c>
      <x:c r="L4" s="29" t="str">
        <x:f>IF(MONTH(L23)=1,"janv.",IF(MONTH(L23)=2,"févr.",IF(MONTH(L23)=3,"mars",IF(MONTH(L23)=4,"avr.",IF(MONTH(L23)=5,"mai",IF(MONTH(L23)=6,"juin",IF(MONTH(L23)=7,"juil.",IF(MONTH(L23)=8,"août",IF(MONTH(L23)=9,"sept.",IF(MONTH(L23)=10,"oct.",IF(MONTH(L23)=11,"nov.","déc.")))))))))))&amp;" "&amp;YEAR(L23)</x:f>
        <x:v>juin 2027</x:v>
      </x:c>
      <x:c r="M4" s="29" t="str">
        <x:f>IF(MONTH(M23)=1,"janv.",IF(MONTH(M23)=2,"févr.",IF(MONTH(M23)=3,"mars",IF(MONTH(M23)=4,"avr.",IF(MONTH(M23)=5,"mai",IF(MONTH(M23)=6,"juin",IF(MONTH(M23)=7,"juil.",IF(MONTH(M23)=8,"août",IF(MONTH(M23)=9,"sept.",IF(MONTH(M23)=10,"oct.",IF(MONTH(M23)=11,"nov.","déc.")))))))))))&amp;" "&amp;YEAR(M23)</x:f>
        <x:v>juil. 2027</x:v>
      </x:c>
    </x:row>
    <x:row r="5" ht="32" customHeight="1">
      <x:c r="A5" s="20" t="str">
        <x:v>ENTRÉES PRINCIPALES</x:v>
      </x:c>
      <x:c r="B5" s="20" t="str">
        <x:v>ENTRÉES PRINCIPALES</x:v>
      </x:c>
      <x:c r="C5" s="20" t="str">
        <x:v>ENTRÉES PRINCIPALES</x:v>
      </x:c>
      <x:c r="D5" s="20" t="str">
        <x:v>ENTRÉES PRINCIPALES</x:v>
      </x:c>
      <x:c r="E5" s="20" t="str">
        <x:v>ENTRÉES PRINCIPALES</x:v>
      </x:c>
      <x:c r="F5" s="20" t="str">
        <x:v>ENTRÉES PRINCIPALES</x:v>
      </x:c>
      <x:c r="G5" s="20" t="str">
        <x:v>ENTRÉES PRINCIPALES</x:v>
      </x:c>
      <x:c r="H5" s="20" t="str">
        <x:v>ENTRÉES PRINCIPALES</x:v>
      </x:c>
      <x:c r="I5" s="20" t="str">
        <x:v>ENTRÉES PRINCIPALES</x:v>
      </x:c>
      <x:c r="J5" s="20" t="str">
        <x:v>ENTRÉES PRINCIPALES</x:v>
      </x:c>
      <x:c r="K5" s="20" t="str">
        <x:v>ENTRÉES PRINCIPALES</x:v>
      </x:c>
      <x:c r="L5" s="20" t="str">
        <x:v>ENTRÉES PRINCIPALES</x:v>
      </x:c>
      <x:c r="M5" s="20" t="str">
        <x:v>ENTRÉES PRINCIPALES</x:v>
      </x:c>
    </x:row>
    <x:row r="6" ht="32" customHeight="1">
      <x:c r="A6" s="3" t="str">
        <x:v>Chiffre d’affaires encaissé HT</x:v>
      </x:c>
      <x:c r="B6" s="30"/>
      <x:c r="C6" s="31"/>
      <x:c r="D6" s="31"/>
      <x:c r="E6" s="31"/>
      <x:c r="F6" s="31"/>
      <x:c r="G6" s="31"/>
      <x:c r="H6" s="31"/>
      <x:c r="I6" s="31"/>
      <x:c r="J6" s="31"/>
      <x:c r="K6" s="31"/>
      <x:c r="L6" s="31"/>
      <x:c r="M6" s="32"/>
    </x:row>
    <x:row r="7" ht="32" customHeight="1">
      <x:c r="A7" s="3" t="str">
        <x:v>Achats et dépenses liés aux ventes</x:v>
      </x:c>
      <x:c r="B7" s="33"/>
      <x:c r="C7" s="34"/>
      <x:c r="D7" s="34"/>
      <x:c r="E7" s="34"/>
      <x:c r="F7" s="34"/>
      <x:c r="G7" s="34"/>
      <x:c r="H7" s="34"/>
      <x:c r="I7" s="34"/>
      <x:c r="J7" s="34"/>
      <x:c r="K7" s="34"/>
      <x:c r="L7" s="34"/>
      <x:c r="M7" s="35"/>
    </x:row>
    <x:row r="8" ht="32" customHeight="1">
      <x:c r="A8" s="3" t="str">
        <x:v>Salaires et charges de personnel</x:v>
      </x:c>
      <x:c r="B8" s="33"/>
      <x:c r="C8" s="34"/>
      <x:c r="D8" s="34"/>
      <x:c r="E8" s="34"/>
      <x:c r="F8" s="34"/>
      <x:c r="G8" s="34"/>
      <x:c r="H8" s="34"/>
      <x:c r="I8" s="34"/>
      <x:c r="J8" s="34"/>
      <x:c r="K8" s="34"/>
      <x:c r="L8" s="34"/>
      <x:c r="M8" s="35"/>
    </x:row>
    <x:row r="9" ht="32" customHeight="1">
      <x:c r="A9" s="3" t="str">
        <x:v>Autres dépenses fixes</x:v>
      </x:c>
      <x:c r="B9" s="33"/>
      <x:c r="C9" s="34"/>
      <x:c r="D9" s="34"/>
      <x:c r="E9" s="34"/>
      <x:c r="F9" s="34"/>
      <x:c r="G9" s="34"/>
      <x:c r="H9" s="34"/>
      <x:c r="I9" s="34"/>
      <x:c r="J9" s="34"/>
      <x:c r="K9" s="34"/>
      <x:c r="L9" s="34"/>
      <x:c r="M9" s="35"/>
    </x:row>
    <x:row r="10" ht="32" customHeight="1">
      <x:c r="A10" s="3" t="str">
        <x:v>Solde du compte bancaire</x:v>
      </x:c>
      <x:c r="B10" s="36"/>
      <x:c r="C10" s="37"/>
      <x:c r="D10" s="37"/>
      <x:c r="E10" s="37"/>
      <x:c r="F10" s="37"/>
      <x:c r="G10" s="37"/>
      <x:c r="H10" s="37"/>
      <x:c r="I10" s="37"/>
      <x:c r="J10" s="37"/>
      <x:c r="K10" s="37"/>
      <x:c r="L10" s="37"/>
      <x:c r="M10" s="38"/>
    </x:row>
    <x:row r="11" ht="32" customHeight="1">
      <x:c r="A11" s="20" t="str">
        <x:v>FACULTATIF</x:v>
      </x:c>
      <x:c r="B11" s="20" t="str">
        <x:v>FACULTATIF</x:v>
      </x:c>
      <x:c r="C11" s="20" t="str">
        <x:v>FACULTATIF</x:v>
      </x:c>
      <x:c r="D11" s="20" t="str">
        <x:v>FACULTATIF</x:v>
      </x:c>
      <x:c r="E11" s="20" t="str">
        <x:v>FACULTATIF</x:v>
      </x:c>
      <x:c r="F11" s="20" t="str">
        <x:v>FACULTATIF</x:v>
      </x:c>
      <x:c r="G11" s="20" t="str">
        <x:v>FACULTATIF</x:v>
      </x:c>
      <x:c r="H11" s="20" t="str">
        <x:v>FACULTATIF</x:v>
      </x:c>
      <x:c r="I11" s="20" t="str">
        <x:v>FACULTATIF</x:v>
      </x:c>
      <x:c r="J11" s="20" t="str">
        <x:v>FACULTATIF</x:v>
      </x:c>
      <x:c r="K11" s="20" t="str">
        <x:v>FACULTATIF</x:v>
      </x:c>
      <x:c r="L11" s="20" t="str">
        <x:v>FACULTATIF</x:v>
      </x:c>
      <x:c r="M11" s="20" t="str">
        <x:v>FACULTATIF</x:v>
      </x:c>
    </x:row>
    <x:row r="12" ht="32" customHeight="1">
      <x:c r="A12" s="3" t="str">
        <x:f>IF('Démarrage'!B6="Ventes","Nombre de ventes",IF('Démarrage'!B6="Commandes","Nombre de commandes",IF('Démarrage'!B6="Prestations","Nombre de prestations",IF('Démarrage'!B6="Chantiers","Nombre de chantiers",IF('Démarrage'!B6="Dossiers","Nombre de dossiers",IF('Démarrage'!B6="Couverts","Nombre de couverts",IF('Démarrage'!B6="Heures facturées","Heures facturées",IF('Démarrage'!B6="Clients","Nombre de clients",""))))))))</x:f>
        <x:v>Nombre de ventes</x:v>
      </x:c>
      <x:c r="B12" s="39"/>
      <x:c r="C12" s="40"/>
      <x:c r="D12" s="40"/>
      <x:c r="E12" s="40"/>
      <x:c r="F12" s="40"/>
      <x:c r="G12" s="40"/>
      <x:c r="H12" s="40"/>
      <x:c r="I12" s="40"/>
      <x:c r="J12" s="40"/>
      <x:c r="K12" s="40"/>
      <x:c r="L12" s="40"/>
      <x:c r="M12" s="41"/>
    </x:row>
    <x:row r="13" ht="32" customHeight="1">
      <x:c r="A13" s="3" t="str">
        <x:v>TVA restant à payer</x:v>
      </x:c>
      <x:c r="B13" s="33"/>
      <x:c r="C13" s="34"/>
      <x:c r="D13" s="34"/>
      <x:c r="E13" s="34"/>
      <x:c r="F13" s="34"/>
      <x:c r="G13" s="34"/>
      <x:c r="H13" s="34"/>
      <x:c r="I13" s="34"/>
      <x:c r="J13" s="34"/>
      <x:c r="K13" s="34"/>
      <x:c r="L13" s="34"/>
      <x:c r="M13" s="35"/>
    </x:row>
    <x:row r="14" ht="32" customHeight="1">
      <x:c r="A14" s="3" t="str">
        <x:v>Impôts restant à payer</x:v>
      </x:c>
      <x:c r="B14" s="36"/>
      <x:c r="C14" s="37"/>
      <x:c r="D14" s="37"/>
      <x:c r="E14" s="37"/>
      <x:c r="F14" s="37"/>
      <x:c r="G14" s="37"/>
      <x:c r="H14" s="37"/>
      <x:c r="I14" s="37"/>
      <x:c r="J14" s="37"/>
      <x:c r="K14" s="37"/>
      <x:c r="L14" s="37"/>
      <x:c r="M14" s="38"/>
    </x:row>
    <x:row r="15" ht="32" customHeight="1">
      <x:c r="A15" s="20" t="str">
        <x:v>CALCULÉ AUTOMATIQUEMENT</x:v>
      </x:c>
      <x:c r="B15" s="20" t="str">
        <x:v>CALCULÉ AUTOMATIQUEMENT</x:v>
      </x:c>
      <x:c r="C15" s="20" t="str">
        <x:v>CALCULÉ AUTOMATIQUEMENT</x:v>
      </x:c>
      <x:c r="D15" s="20" t="str">
        <x:v>CALCULÉ AUTOMATIQUEMENT</x:v>
      </x:c>
      <x:c r="E15" s="20" t="str">
        <x:v>CALCULÉ AUTOMATIQUEMENT</x:v>
      </x:c>
      <x:c r="F15" s="20" t="str">
        <x:v>CALCULÉ AUTOMATIQUEMENT</x:v>
      </x:c>
      <x:c r="G15" s="20" t="str">
        <x:v>CALCULÉ AUTOMATIQUEMENT</x:v>
      </x:c>
      <x:c r="H15" s="20" t="str">
        <x:v>CALCULÉ AUTOMATIQUEMENT</x:v>
      </x:c>
      <x:c r="I15" s="20" t="str">
        <x:v>CALCULÉ AUTOMATIQUEMENT</x:v>
      </x:c>
      <x:c r="J15" s="20" t="str">
        <x:v>CALCULÉ AUTOMATIQUEMENT</x:v>
      </x:c>
      <x:c r="K15" s="20" t="str">
        <x:v>CALCULÉ AUTOMATIQUEMENT</x:v>
      </x:c>
      <x:c r="L15" s="20" t="str">
        <x:v>CALCULÉ AUTOMATIQUEMENT</x:v>
      </x:c>
      <x:c r="M15" s="20" t="str">
        <x:v>CALCULÉ AUTOMATIQUEMENT</x:v>
      </x:c>
    </x:row>
    <x:row r="16" ht="32" customHeight="1">
      <x:c r="A16" s="3" t="str">
        <x:v>Total des dépenses</x:v>
      </x:c>
      <x:c r="B16" s="44" t="str">
        <x:f>IF(COUNTA(B6:B10)+COUNTA(B12:B14)=0,"",SUM(B7:B9))</x:f>
      </x:c>
      <x:c r="C16" s="45" t="str">
        <x:f>IF(COUNTA(C6:C10)+COUNTA(C12:C14)=0,"",SUM(C7:C9))</x:f>
      </x:c>
      <x:c r="D16" s="45" t="str">
        <x:f>IF(COUNTA(D6:D10)+COUNTA(D12:D14)=0,"",SUM(D7:D9))</x:f>
      </x:c>
      <x:c r="E16" s="45" t="str">
        <x:f>IF(COUNTA(E6:E10)+COUNTA(E12:E14)=0,"",SUM(E7:E9))</x:f>
      </x:c>
      <x:c r="F16" s="45" t="str">
        <x:f>IF(COUNTA(F6:F10)+COUNTA(F12:F14)=0,"",SUM(F7:F9))</x:f>
      </x:c>
      <x:c r="G16" s="45" t="str">
        <x:f>IF(COUNTA(G6:G10)+COUNTA(G12:G14)=0,"",SUM(G7:G9))</x:f>
      </x:c>
      <x:c r="H16" s="45" t="str">
        <x:f>IF(COUNTA(H6:H10)+COUNTA(H12:H14)=0,"",SUM(H7:H9))</x:f>
      </x:c>
      <x:c r="I16" s="45" t="str">
        <x:f>IF(COUNTA(I6:I10)+COUNTA(I12:I14)=0,"",SUM(I7:I9))</x:f>
      </x:c>
      <x:c r="J16" s="45" t="str">
        <x:f>IF(COUNTA(J6:J10)+COUNTA(J12:J14)=0,"",SUM(J7:J9))</x:f>
      </x:c>
      <x:c r="K16" s="45" t="str">
        <x:f>IF(COUNTA(K6:K10)+COUNTA(K12:K14)=0,"",SUM(K7:K9))</x:f>
      </x:c>
      <x:c r="L16" s="45" t="str">
        <x:f>IF(COUNTA(L6:L10)+COUNTA(L12:L14)=0,"",SUM(L7:L9))</x:f>
      </x:c>
      <x:c r="M16" s="46" t="str">
        <x:f>IF(COUNTA(M6:M10)+COUNTA(M12:M14)=0,"",SUM(M7:M9))</x:f>
      </x:c>
    </x:row>
    <x:row r="17" ht="32" customHeight="1">
      <x:c r="A17" s="3" t="str">
        <x:v>Résultat estimé</x:v>
      </x:c>
      <x:c r="B17" s="44" t="str">
        <x:f>IF(B6="","",B6-B16)</x:f>
      </x:c>
      <x:c r="C17" s="45" t="str">
        <x:f>IF(C6="","",C6-C16)</x:f>
      </x:c>
      <x:c r="D17" s="45" t="str">
        <x:f>IF(D6="","",D6-D16)</x:f>
      </x:c>
      <x:c r="E17" s="45" t="str">
        <x:f>IF(E6="","",E6-E16)</x:f>
      </x:c>
      <x:c r="F17" s="45" t="str">
        <x:f>IF(F6="","",F6-F16)</x:f>
      </x:c>
      <x:c r="G17" s="45" t="str">
        <x:f>IF(G6="","",G6-G16)</x:f>
      </x:c>
      <x:c r="H17" s="45" t="str">
        <x:f>IF(H6="","",H6-H16)</x:f>
      </x:c>
      <x:c r="I17" s="45" t="str">
        <x:f>IF(I6="","",I6-I16)</x:f>
      </x:c>
      <x:c r="J17" s="45" t="str">
        <x:f>IF(J6="","",J6-J16)</x:f>
      </x:c>
      <x:c r="K17" s="45" t="str">
        <x:f>IF(K6="","",K6-K16)</x:f>
      </x:c>
      <x:c r="L17" s="45" t="str">
        <x:f>IF(L6="","",L6-L16)</x:f>
      </x:c>
      <x:c r="M17" s="46" t="str">
        <x:f>IF(M6="","",M6-M16)</x:f>
      </x:c>
    </x:row>
    <x:row r="18" ht="32" customHeight="1">
      <x:c r="A18" s="3" t="str">
        <x:v>Marge</x:v>
      </x:c>
      <x:c r="B18" s="47" t="str">
        <x:f>IF(OR(B6="",B6=0),"",B17/B6)</x:f>
      </x:c>
      <x:c r="C18" s="48" t="str">
        <x:f>IF(OR(C6="",C6=0),"",C17/C6)</x:f>
      </x:c>
      <x:c r="D18" s="48" t="str">
        <x:f>IF(OR(D6="",D6=0),"",D17/D6)</x:f>
      </x:c>
      <x:c r="E18" s="48" t="str">
        <x:f>IF(OR(E6="",E6=0),"",E17/E6)</x:f>
      </x:c>
      <x:c r="F18" s="48" t="str">
        <x:f>IF(OR(F6="",F6=0),"",F17/F6)</x:f>
      </x:c>
      <x:c r="G18" s="48" t="str">
        <x:f>IF(OR(G6="",G6=0),"",G17/G6)</x:f>
      </x:c>
      <x:c r="H18" s="48" t="str">
        <x:f>IF(OR(H6="",H6=0),"",H17/H6)</x:f>
      </x:c>
      <x:c r="I18" s="48" t="str">
        <x:f>IF(OR(I6="",I6=0),"",I17/I6)</x:f>
      </x:c>
      <x:c r="J18" s="48" t="str">
        <x:f>IF(OR(J6="",J6=0),"",J17/J6)</x:f>
      </x:c>
      <x:c r="K18" s="48" t="str">
        <x:f>IF(OR(K6="",K6=0),"",K17/K6)</x:f>
      </x:c>
      <x:c r="L18" s="48" t="str">
        <x:f>IF(OR(L6="",L6=0),"",L17/L6)</x:f>
      </x:c>
      <x:c r="M18" s="49" t="str">
        <x:f>IF(OR(M6="",M6=0),"",M17/M6)</x:f>
      </x:c>
    </x:row>
    <x:row r="19" ht="32" customHeight="1">
      <x:c r="A19" s="3" t="str">
        <x:f>IF('Démarrage'!B6="Ventes","CA moyen par vente",IF('Démarrage'!B6="Commandes","CA moyen par commande",IF('Démarrage'!B6="Prestations","CA moyen par prestation",IF('Démarrage'!B6="Chantiers","CA moyen par chantier",IF('Démarrage'!B6="Dossiers","CA moyen par dossier",IF('Démarrage'!B6="Couverts","CA moyen par couvert",IF('Démarrage'!B6="Heures facturées","CA moyen par heure facturée",IF('Démarrage'!B6="Clients","CA moyen par client",""))))))))</x:f>
        <x:v>CA moyen par vente</x:v>
      </x:c>
      <x:c r="B19" s="44" t="str">
        <x:f>IF(OR(B6="",B12="",B12=0),"",B6/B12)</x:f>
      </x:c>
      <x:c r="C19" s="45" t="str">
        <x:f>IF(OR(C6="",C12="",C12=0),"",C6/C12)</x:f>
      </x:c>
      <x:c r="D19" s="45" t="str">
        <x:f>IF(OR(D6="",D12="",D12=0),"",D6/D12)</x:f>
      </x:c>
      <x:c r="E19" s="45" t="str">
        <x:f>IF(OR(E6="",E12="",E12=0),"",E6/E12)</x:f>
      </x:c>
      <x:c r="F19" s="45" t="str">
        <x:f>IF(OR(F6="",F12="",F12=0),"",F6/F12)</x:f>
      </x:c>
      <x:c r="G19" s="45" t="str">
        <x:f>IF(OR(G6="",G12="",G12=0),"",G6/G12)</x:f>
      </x:c>
      <x:c r="H19" s="45" t="str">
        <x:f>IF(OR(H6="",H12="",H12=0),"",H6/H12)</x:f>
      </x:c>
      <x:c r="I19" s="45" t="str">
        <x:f>IF(OR(I6="",I12="",I12=0),"",I6/I12)</x:f>
      </x:c>
      <x:c r="J19" s="45" t="str">
        <x:f>IF(OR(J6="",J12="",J12=0),"",J6/J12)</x:f>
      </x:c>
      <x:c r="K19" s="45" t="str">
        <x:f>IF(OR(K6="",K12="",K12=0),"",K6/K12)</x:f>
      </x:c>
      <x:c r="L19" s="45" t="str">
        <x:f>IF(OR(L6="",L12="",L12=0),"",L6/L12)</x:f>
      </x:c>
      <x:c r="M19" s="46" t="str">
        <x:f>IF(OR(M6="",M12="",M12=0),"",M6/M12)</x:f>
      </x:c>
    </x:row>
    <x:row r="20" ht="32" customHeight="1">
      <x:c r="A20" s="3" t="str">
        <x:v>Argent disponible</x:v>
      </x:c>
      <x:c r="B20" s="44" t="str">
        <x:f>IF(B10="","",B10-B13-B14)</x:f>
      </x:c>
      <x:c r="C20" s="45" t="str">
        <x:f>IF(C10="","",C10-C13-C14)</x:f>
      </x:c>
      <x:c r="D20" s="45" t="str">
        <x:f>IF(D10="","",D10-D13-D14)</x:f>
      </x:c>
      <x:c r="E20" s="45" t="str">
        <x:f>IF(E10="","",E10-E13-E14)</x:f>
      </x:c>
      <x:c r="F20" s="45" t="str">
        <x:f>IF(F10="","",F10-F13-F14)</x:f>
      </x:c>
      <x:c r="G20" s="45" t="str">
        <x:f>IF(G10="","",G10-G13-G14)</x:f>
      </x:c>
      <x:c r="H20" s="45" t="str">
        <x:f>IF(H10="","",H10-H13-H14)</x:f>
      </x:c>
      <x:c r="I20" s="45" t="str">
        <x:f>IF(I10="","",I10-I13-I14)</x:f>
      </x:c>
      <x:c r="J20" s="45" t="str">
        <x:f>IF(J10="","",J10-J13-J14)</x:f>
      </x:c>
      <x:c r="K20" s="45" t="str">
        <x:f>IF(K10="","",K10-K13-K14)</x:f>
      </x:c>
      <x:c r="L20" s="45" t="str">
        <x:f>IF(L10="","",L10-L13-L14)</x:f>
      </x:c>
      <x:c r="M20" s="46" t="str">
        <x:f>IF(M10="","",M10-M13-M14)</x:f>
      </x:c>
    </x:row>
    <x:row r="21" ht="2" customHeight="1">
      <x:c r="A21" s="3"/>
      <x:c r="B21" s="50" t="str">
        <x:f>IF(COUNTA(B6:B10)+COUNTA(B12:B14)=0,"",IF(OR(B6="",B7="",B8="",B9="",B10="",MIN(B6:B9)&lt;0,MIN(B12:B14)&lt;0),"À vérifier","OK"))</x:f>
      </x:c>
      <x:c r="C21" s="50" t="str">
        <x:f>IF(COUNTA(C6:C10)+COUNTA(C12:C14)=0,"",IF(OR(C6="",C7="",C8="",C9="",C10="",MIN(C6:C9)&lt;0,MIN(C12:C14)&lt;0),"À vérifier","OK"))</x:f>
      </x:c>
      <x:c r="D21" s="50" t="str">
        <x:f>IF(COUNTA(D6:D10)+COUNTA(D12:D14)=0,"",IF(OR(D6="",D7="",D8="",D9="",D10="",MIN(D6:D9)&lt;0,MIN(D12:D14)&lt;0),"À vérifier","OK"))</x:f>
      </x:c>
      <x:c r="E21" s="50" t="str">
        <x:f>IF(COUNTA(E6:E10)+COUNTA(E12:E14)=0,"",IF(OR(E6="",E7="",E8="",E9="",E10="",MIN(E6:E9)&lt;0,MIN(E12:E14)&lt;0),"À vérifier","OK"))</x:f>
      </x:c>
      <x:c r="F21" s="50" t="str">
        <x:f>IF(COUNTA(F6:F10)+COUNTA(F12:F14)=0,"",IF(OR(F6="",F7="",F8="",F9="",F10="",MIN(F6:F9)&lt;0,MIN(F12:F14)&lt;0),"À vérifier","OK"))</x:f>
      </x:c>
      <x:c r="G21" s="50" t="str">
        <x:f>IF(COUNTA(G6:G10)+COUNTA(G12:G14)=0,"",IF(OR(G6="",G7="",G8="",G9="",G10="",MIN(G6:G9)&lt;0,MIN(G12:G14)&lt;0),"À vérifier","OK"))</x:f>
      </x:c>
      <x:c r="H21" s="50" t="str">
        <x:f>IF(COUNTA(H6:H10)+COUNTA(H12:H14)=0,"",IF(OR(H6="",H7="",H8="",H9="",H10="",MIN(H6:H9)&lt;0,MIN(H12:H14)&lt;0),"À vérifier","OK"))</x:f>
      </x:c>
      <x:c r="I21" s="50" t="str">
        <x:f>IF(COUNTA(I6:I10)+COUNTA(I12:I14)=0,"",IF(OR(I6="",I7="",I8="",I9="",I10="",MIN(I6:I9)&lt;0,MIN(I12:I14)&lt;0),"À vérifier","OK"))</x:f>
      </x:c>
      <x:c r="J21" s="50" t="str">
        <x:f>IF(COUNTA(J6:J10)+COUNTA(J12:J14)=0,"",IF(OR(J6="",J7="",J8="",J9="",J10="",MIN(J6:J9)&lt;0,MIN(J12:J14)&lt;0),"À vérifier","OK"))</x:f>
      </x:c>
      <x:c r="K21" s="50" t="str">
        <x:f>IF(COUNTA(K6:K10)+COUNTA(K12:K14)=0,"",IF(OR(K6="",K7="",K8="",K9="",K10="",MIN(K6:K9)&lt;0,MIN(K12:K14)&lt;0),"À vérifier","OK"))</x:f>
      </x:c>
      <x:c r="L21" s="50" t="str">
        <x:f>IF(COUNTA(L6:L10)+COUNTA(L12:L14)=0,"",IF(OR(L6="",L7="",L8="",L9="",L10="",MIN(L6:L9)&lt;0,MIN(L12:L14)&lt;0),"À vérifier","OK"))</x:f>
      </x:c>
      <x:c r="M21" s="50" t="str">
        <x:f>IF(COUNTA(M6:M10)+COUNTA(M12:M14)=0,"",IF(OR(M6="",M7="",M8="",M9="",M10="",MIN(M6:M9)&lt;0,MIN(M12:M14)&lt;0),"À vérifier","OK"))</x:f>
      </x:c>
    </x:row>
    <x:row r="22">
      <x:c r="A22" s="3"/>
      <x:c r="B22" s="3"/>
      <x:c r="C22" s="3"/>
      <x:c r="D22" s="3"/>
      <x:c r="E22" s="3"/>
      <x:c r="F22" s="3"/>
      <x:c r="G22" s="3"/>
      <x:c r="H22" s="3"/>
      <x:c r="I22" s="3"/>
      <x:c r="J22" s="3"/>
      <x:c r="K22" s="3"/>
      <x:c r="L22" s="3"/>
      <x:c r="M22" s="3"/>
    </x:row>
    <x:row r="23" ht="2" customHeight="1">
      <x:c r="A23" s="3"/>
      <x:c r="B23" s="50" t="n">
        <x:f>DATE(VALUE(RIGHT('Démarrage'!B5,4)),IF(LEFT('Démarrage'!B5,4)="janv",1,IF(LEFT('Démarrage'!B5,4)="févr",2,IF(LEFT('Démarrage'!B5,4)="mars",3,IF(LEFT('Démarrage'!B5,3)="avr",4,IF(LEFT('Démarrage'!B5,3)="mai",5,IF(LEFT('Démarrage'!B5,4)="juin",6,IF(LEFT('Démarrage'!B5,4)="juil",7,IF(LEFT('Démarrage'!B5,4)="août",8,IF(LEFT('Démarrage'!B5,4)="sept",9,IF(LEFT('Démarrage'!B5,3)="oct",10,IF(LEFT('Démarrage'!B5,3)="nov",11,12))))))))))),1)</x:f>
        <x:v>46235</x:v>
      </x:c>
      <x:c r="C23" s="50" t="n">
        <x:f>DATE(YEAR(B23),MONTH(B23)+1,1)</x:f>
        <x:v>46266</x:v>
      </x:c>
      <x:c r="D23" s="50" t="n">
        <x:f>DATE(YEAR(C23),MONTH(C23)+1,1)</x:f>
        <x:v>46296</x:v>
      </x:c>
      <x:c r="E23" s="50" t="n">
        <x:f>DATE(YEAR(D23),MONTH(D23)+1,1)</x:f>
        <x:v>46327</x:v>
      </x:c>
      <x:c r="F23" s="50" t="n">
        <x:f>DATE(YEAR(E23),MONTH(E23)+1,1)</x:f>
        <x:v>46357</x:v>
      </x:c>
      <x:c r="G23" s="50" t="n">
        <x:f>DATE(YEAR(F23),MONTH(F23)+1,1)</x:f>
        <x:v>46388</x:v>
      </x:c>
      <x:c r="H23" s="50" t="n">
        <x:f>DATE(YEAR(G23),MONTH(G23)+1,1)</x:f>
        <x:v>46419</x:v>
      </x:c>
      <x:c r="I23" s="50" t="n">
        <x:f>DATE(YEAR(H23),MONTH(H23)+1,1)</x:f>
        <x:v>46447</x:v>
      </x:c>
      <x:c r="J23" s="50" t="n">
        <x:f>DATE(YEAR(I23),MONTH(I23)+1,1)</x:f>
        <x:v>46478</x:v>
      </x:c>
      <x:c r="K23" s="50" t="n">
        <x:f>DATE(YEAR(J23),MONTH(J23)+1,1)</x:f>
        <x:v>46508</x:v>
      </x:c>
      <x:c r="L23" s="50" t="n">
        <x:f>DATE(YEAR(K23),MONTH(K23)+1,1)</x:f>
        <x:v>46539</x:v>
      </x:c>
      <x:c r="M23" s="50" t="n">
        <x:f>DATE(YEAR(L23),MONTH(L23)+1,1)</x:f>
        <x:v>46569</x:v>
      </x:c>
    </x:row>
  </x:sheetData>
  <x:mergeCells>
    <x:mergeCell ref="A1:M1"/>
    <x:mergeCell ref="A2:M2"/>
    <x:mergeCell ref="A5:M5"/>
    <x:mergeCell ref="A11:M11"/>
    <x:mergeCell ref="A15:M15"/>
  </x:mergeCells>
  <x:dataValidations count="2">
    <x:dataValidation type="decimal" operator="greaterThanOrEqual" sqref="B6:M9">
      <x:formula1>0</x:formula1>
    </x:dataValidation>
    <x:dataValidation type="decimal" operator="greaterThanOrEqual" sqref="B12:M14">
      <x:formula1>0</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6.110000610351562" hidden="0" customWidth="1"/>
    <x:col min="3" max="3" width="12.220000267028809" hidden="0" customWidth="1"/>
    <x:col min="4" max="4" width="12.220000267028809" hidden="0" customWidth="1"/>
    <x:col min="5" max="5" width="26.670000076293945" hidden="0" customWidth="1"/>
    <x:col min="6" max="6" width="21.110000610351562" hidden="0" customWidth="1"/>
  </x:cols>
  <x:sheetData>
    <x:row r="1" ht="44" customHeight="1">
      <x:c r="A1" s="6" t="str">
        <x:v>Levier · Actions</x:v>
      </x:c>
      <x:c r="B1" s="6" t="str">
        <x:v>Levier · Actions</x:v>
      </x:c>
      <x:c r="C1" s="6" t="str">
        <x:v>Levier · Actions</x:v>
      </x:c>
      <x:c r="D1" s="6" t="str">
        <x:v>Levier · Actions</x:v>
      </x:c>
      <x:c r="E1" s="6" t="str">
        <x:v>Levier · Actions</x:v>
      </x:c>
      <x:c r="F1" s="6" t="str">
        <x:v>Levier · Actions</x:v>
      </x:c>
    </x:row>
    <x:row r="2">
      <x:c r="A2" s="9" t="str">
        <x:v>TABLEAU DE PILOTAGE OPÉRATIONNEL</x:v>
      </x:c>
      <x:c r="B2" s="9" t="str">
        <x:v>TABLEAU DE PILOTAGE OPÉRATIONNEL</x:v>
      </x:c>
      <x:c r="C2" s="9" t="str">
        <x:v>TABLEAU DE PILOTAGE OPÉRATIONNEL</x:v>
      </x:c>
      <x:c r="D2" s="9" t="str">
        <x:v>TABLEAU DE PILOTAGE OPÉRATIONNEL</x:v>
      </x:c>
      <x:c r="E2" s="9" t="str">
        <x:v>TABLEAU DE PILOTAGE OPÉRATIONNEL</x:v>
      </x:c>
      <x:c r="F2" s="9" t="str">
        <x:v>TABLEAU DE PILOTAGE OPÉRATIONNEL</x:v>
      </x:c>
    </x:row>
    <x:row r="3">
      <x:c r="A3" s="3"/>
      <x:c r="B3" s="3"/>
      <x:c r="C3" s="3"/>
      <x:c r="D3" s="3"/>
      <x:c r="E3" s="3"/>
      <x:c r="F3" s="3"/>
    </x:row>
    <x:row r="4" ht="38" customHeight="1">
      <x:c r="A4" s="28" t="str">
        <x:v>Action</x:v>
      </x:c>
      <x:c r="B4" s="28" t="str">
        <x:v>Responsable</x:v>
      </x:c>
      <x:c r="C4" s="28" t="str">
        <x:v>Date prévue</x:v>
      </x:c>
      <x:c r="D4" s="28" t="str">
        <x:v>Statut</x:v>
      </x:c>
      <x:c r="E4" s="28" t="str">
        <x:v>Résultat attendu</x:v>
      </x:c>
      <x:c r="F4" s="28" t="str">
        <x:v>Note</x:v>
      </x:c>
    </x:row>
    <x:row r="5" ht="38" customHeight="1">
      <x:c r="A5" s="60"/>
      <x:c r="B5" s="61"/>
      <x:c r="C5" s="63"/>
      <x:c r="D5" s="61"/>
      <x:c r="E5" s="61"/>
      <x:c r="F5" s="62"/>
    </x:row>
    <x:row r="6" ht="38" customHeight="1">
      <x:c r="A6" s="60"/>
      <x:c r="B6" s="61"/>
      <x:c r="C6" s="63"/>
      <x:c r="D6" s="61"/>
      <x:c r="E6" s="61"/>
      <x:c r="F6" s="62"/>
    </x:row>
    <x:row r="7" ht="38" customHeight="1">
      <x:c r="A7" s="60"/>
      <x:c r="B7" s="61"/>
      <x:c r="C7" s="63"/>
      <x:c r="D7" s="61"/>
      <x:c r="E7" s="61"/>
      <x:c r="F7" s="62"/>
    </x:row>
    <x:row r="8" ht="38" customHeight="1">
      <x:c r="A8" s="60"/>
      <x:c r="B8" s="61"/>
      <x:c r="C8" s="63"/>
      <x:c r="D8" s="61"/>
      <x:c r="E8" s="61"/>
      <x:c r="F8" s="62"/>
    </x:row>
    <x:row r="9" ht="38" customHeight="1">
      <x:c r="A9" s="60"/>
      <x:c r="B9" s="61"/>
      <x:c r="C9" s="63"/>
      <x:c r="D9" s="61"/>
      <x:c r="E9" s="61"/>
      <x:c r="F9" s="62"/>
    </x:row>
    <x:row r="10" ht="38" customHeight="1">
      <x:c r="A10" s="60"/>
      <x:c r="B10" s="61"/>
      <x:c r="C10" s="63"/>
      <x:c r="D10" s="61"/>
      <x:c r="E10" s="61"/>
      <x:c r="F10" s="62"/>
    </x:row>
    <x:row r="11" ht="38" customHeight="1">
      <x:c r="A11" s="60"/>
      <x:c r="B11" s="61"/>
      <x:c r="C11" s="63"/>
      <x:c r="D11" s="61"/>
      <x:c r="E11" s="61"/>
      <x:c r="F11" s="62"/>
    </x:row>
    <x:row r="12" ht="38" customHeight="1">
      <x:c r="A12" s="60"/>
      <x:c r="B12" s="61"/>
      <x:c r="C12" s="63"/>
      <x:c r="D12" s="61"/>
      <x:c r="E12" s="61"/>
      <x:c r="F12" s="62"/>
    </x:row>
    <x:row r="13" ht="38" customHeight="1">
      <x:c r="A13" s="60"/>
      <x:c r="B13" s="61"/>
      <x:c r="C13" s="63"/>
      <x:c r="D13" s="61"/>
      <x:c r="E13" s="61"/>
      <x:c r="F13" s="62"/>
    </x:row>
    <x:row r="14" ht="38" customHeight="1">
      <x:c r="A14" s="60"/>
      <x:c r="B14" s="61"/>
      <x:c r="C14" s="63"/>
      <x:c r="D14" s="61"/>
      <x:c r="E14" s="61"/>
      <x:c r="F14" s="62"/>
    </x:row>
    <x:row r="15">
      <x:c r="A15" s="3"/>
      <x:c r="B15" s="3"/>
      <x:c r="C15" s="3"/>
      <x:c r="D15" s="3"/>
      <x:c r="E15" s="3"/>
      <x:c r="F15" s="3"/>
    </x:row>
    <x:row r="16">
      <x:c r="A16" s="3"/>
      <x:c r="B16" s="3"/>
      <x:c r="C16" s="3"/>
      <x:c r="D16" s="3"/>
      <x:c r="E16" s="3"/>
      <x:c r="F16" s="3"/>
    </x:row>
    <x:row r="17">
      <x:c r="A17" s="3"/>
      <x:c r="B17" s="3"/>
      <x:c r="C17" s="3"/>
      <x:c r="D17" s="3"/>
      <x:c r="E17" s="3"/>
      <x:c r="F17" s="3"/>
    </x:row>
    <x:row r="18">
      <x:c r="A18" s="20" t="str">
        <x:v>QUI S’OCCUPE DE QUOI ? — FACULTATIF</x:v>
      </x:c>
      <x:c r="B18" s="20" t="str">
        <x:v>QUI S’OCCUPE DE QUOI ? — FACULTATIF</x:v>
      </x:c>
      <x:c r="C18" s="20" t="str">
        <x:v>QUI S’OCCUPE DE QUOI ? — FACULTATIF</x:v>
      </x:c>
      <x:c r="D18" s="20" t="str">
        <x:v>QUI S’OCCUPE DE QUOI ? — FACULTATIF</x:v>
      </x:c>
      <x:c r="E18" s="20" t="str">
        <x:v>QUI S’OCCUPE DE QUOI ? — FACULTATIF</x:v>
      </x:c>
      <x:c r="F18" s="20" t="str">
        <x:v>QUI S’OCCUPE DE QUOI ? — FACULTATIF</x:v>
      </x:c>
    </x:row>
    <x:row r="19">
      <x:c r="A19" s="64" t="str">
        <x:v>Sujet important</x:v>
      </x:c>
      <x:c r="B19" s="64" t="str">
        <x:v>Sujet important</x:v>
      </x:c>
      <x:c r="C19" s="64" t="str">
        <x:v>Responsable principal</x:v>
      </x:c>
      <x:c r="D19" s="64" t="str">
        <x:v>Responsable principal</x:v>
      </x:c>
      <x:c r="E19" s="64" t="str">
        <x:v>Relais</x:v>
      </x:c>
      <x:c r="F19" s="64" t="str">
        <x:v>Relais</x:v>
      </x:c>
    </x:row>
    <x:row r="20" ht="32" customHeight="1">
      <x:c r="A20" s="65"/>
      <x:c r="B20" s="66"/>
      <x:c r="C20" s="66"/>
      <x:c r="D20" s="66"/>
      <x:c r="E20" s="66"/>
      <x:c r="F20" s="67"/>
    </x:row>
    <x:row r="21" ht="32" customHeight="1">
      <x:c r="A21" s="65"/>
      <x:c r="B21" s="66"/>
      <x:c r="C21" s="66"/>
      <x:c r="D21" s="66"/>
      <x:c r="E21" s="66"/>
      <x:c r="F21" s="67"/>
    </x:row>
    <x:row r="22" ht="32" customHeight="1">
      <x:c r="A22" s="65"/>
      <x:c r="B22" s="66"/>
      <x:c r="C22" s="66"/>
      <x:c r="D22" s="66"/>
      <x:c r="E22" s="66"/>
      <x:c r="F22" s="67"/>
    </x:row>
    <x:row r="23" ht="32" customHeight="1">
      <x:c r="A23" s="65"/>
      <x:c r="B23" s="66"/>
      <x:c r="C23" s="66"/>
      <x:c r="D23" s="66"/>
      <x:c r="E23" s="66"/>
      <x:c r="F23" s="67"/>
    </x:row>
    <x:row r="24" ht="32" customHeight="1">
      <x:c r="A24" s="65"/>
      <x:c r="B24" s="66"/>
      <x:c r="C24" s="66"/>
      <x:c r="D24" s="66"/>
      <x:c r="E24" s="66"/>
      <x:c r="F24" s="67"/>
    </x:row>
    <x:row r="25" ht="32" customHeight="1">
      <x:c r="A25" s="65"/>
      <x:c r="B25" s="66"/>
      <x:c r="C25" s="66"/>
      <x:c r="D25" s="66"/>
      <x:c r="E25" s="66"/>
      <x:c r="F25" s="67"/>
    </x:row>
    <x:row r="26">
      <x:c r="A26" s="3"/>
      <x:c r="B26" s="3"/>
      <x:c r="C26" s="3"/>
      <x:c r="D26" s="3"/>
      <x:c r="E26" s="3"/>
      <x:c r="F26" s="3"/>
    </x:row>
    <x:row r="27">
      <x:c r="A27" s="3"/>
      <x:c r="B27" s="3"/>
      <x:c r="C27" s="3"/>
      <x:c r="D27" s="3"/>
      <x:c r="E27" s="3"/>
      <x:c r="F27" s="3"/>
    </x:row>
    <x:row r="28">
      <x:c r="A28" s="3"/>
      <x:c r="B28" s="3"/>
      <x:c r="C28" s="3"/>
      <x:c r="D28" s="3"/>
      <x:c r="E28" s="3"/>
      <x:c r="F28" s="3"/>
    </x:row>
  </x:sheetData>
  <x:mergeCells>
    <x:mergeCell ref="A1:F1"/>
    <x:mergeCell ref="A2:F2"/>
    <x:mergeCell ref="A18:F18"/>
    <x:mergeCell ref="A19:B19"/>
    <x:mergeCell ref="C19:D19"/>
    <x:mergeCell ref="E19:F19"/>
    <x:mergeCell ref="A20:B20"/>
    <x:mergeCell ref="C20:D20"/>
    <x:mergeCell ref="E20:F20"/>
    <x:mergeCell ref="A21:B21"/>
    <x:mergeCell ref="C21:D21"/>
    <x:mergeCell ref="E21:F21"/>
    <x:mergeCell ref="A22:B22"/>
    <x:mergeCell ref="C22:D22"/>
    <x:mergeCell ref="E22:F22"/>
    <x:mergeCell ref="A23:B23"/>
    <x:mergeCell ref="C23:D23"/>
    <x:mergeCell ref="E23:F23"/>
    <x:mergeCell ref="A24:B24"/>
    <x:mergeCell ref="C24:D24"/>
    <x:mergeCell ref="E24:F24"/>
    <x:mergeCell ref="A25:B25"/>
    <x:mergeCell ref="C25:D25"/>
    <x:mergeCell ref="E25:F25"/>
  </x:mergeCells>
  <x:conditionalFormatting sqref="D5:D14">
    <x:cfRule type="containsText" dxfId="2" priority="1" operator="containsText" text="Terminé"/>
    <x:cfRule type="containsText" dxfId="3" priority="2" operator="containsText" text="Bloqué"/>
    <x:cfRule type="containsText" dxfId="4" priority="3" operator="containsText" text="En cours"/>
  </x:conditionalFormatting>
  <x:dataValidations count="2">
    <x:dataValidation type="whole" operator="between" sqref="C5:C14">
      <x:formula1>43831</x:formula1>
      <x:formula2>73415</x:formula2>
    </x:dataValidation>
    <x:dataValidation type="list" sqref="D5:D14">
      <x:formula1>"À faire,En cours,Terminé,Bloqué"</x:formula1>
    </x:dataValidation>
  </x:dataValidations>
  <x:pageMargins left="0.7" right="0.7" top="0.75" bottom="0.75" header="0.3" footer="0.3"/>
</x:worksheet>
</file>